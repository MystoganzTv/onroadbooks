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000" windowHeight="9000" firstSheet="0" activeTab="0"/>
  </bookViews>
  <sheets>
    <sheet sheetId="1" name="Summary" state="visible" r:id="rId4"/>
    <sheet sheetId="2" name="Loads" state="visible" r:id="rId5"/>
    <sheet sheetId="3" name="Expenses" state="visible" r:id="rId6"/>
    <sheet sheetId="4" name="Fuel" state="visible" r:id="rId7"/>
    <sheet sheetId="5" name="Profit Loss" state="visible" r:id="rId8"/>
    <sheet sheetId="6" name="Mileage" state="visible" r:id="rId9"/>
    <sheet sheetId="7" name="Maintenance" state="visible" r:id="rId10"/>
  </sheets>
  <definedNames>
    <definedName name="_xlnm.Print_Area" localSheetId="0">'Summary'!$A1:$H49</definedName>
    <definedName name="_xlnm.Print_Area" localSheetId="1">'Loads'!$A1:$AG74</definedName>
    <definedName name="_xlnm.Print_Titles" localSheetId="1">'Loads'!$9:$10</definedName>
    <definedName name="_xlnm.Print_Area" localSheetId="2">'Expenses'!$A1:$L94</definedName>
    <definedName name="_xlnm.Print_Titles" localSheetId="2">'Expenses'!$9:$10</definedName>
    <definedName name="_xlnm.Print_Area" localSheetId="3">'Fuel'!$A1:$H44</definedName>
    <definedName name="_xlnm.Print_Titles" localSheetId="3">'Fuel'!$9:$10</definedName>
    <definedName name="_xlnm.Print_Area" localSheetId="4">'Profit Loss'!$A1:$H56</definedName>
    <definedName name="_xlnm.Print_Titles" localSheetId="4">'Profit Loss'!$9:$10</definedName>
    <definedName name="_xlnm.Print_Area" localSheetId="5">'Mileage'!$A1:$I78</definedName>
    <definedName name="_xlnm.Print_Titles" localSheetId="5">'Mileage'!$9:$10</definedName>
    <definedName name="_xlnm.Print_Area" localSheetId="6">'Maintenance'!$A1:$K15</definedName>
    <definedName name="_xlnm.Print_Titles" localSheetId="6">'Maintenance'!$9:$10</definedName>
  </definedNames>
  <calcPr calcId="171027" fullCalcOnLoad="1"/>
</workbook>
</file>

<file path=xl/sharedStrings.xml><?xml version="1.0" encoding="utf-8"?>
<sst xmlns="http://schemas.openxmlformats.org/spreadsheetml/2006/main" count="2183" uniqueCount="491">
  <si>
    <t>EPS Logistics LLC  /  2026 YEAR-END REPORT</t>
  </si>
  <si>
    <t>ONROAD BOOKS  •  PERIOD 2026-01-01 to 2026-12-31  •  MODEL v3  •  GENERATED 2026-09-01</t>
  </si>
  <si>
    <t>BOOKED REVENUE</t>
  </si>
  <si>
    <t>OPERATING PROFIT</t>
  </si>
  <si>
    <t>CASH AFTER DEBT</t>
  </si>
  <si>
    <t>TOTAL MILES</t>
  </si>
  <si>
    <t>Performance basis</t>
  </si>
  <si>
    <t>After operating costs</t>
  </si>
  <si>
    <t>Collected cash basis</t>
  </si>
  <si>
    <t>64 loads recorded</t>
  </si>
  <si>
    <t>FINANCIAL OVERVIEW</t>
  </si>
  <si>
    <t>Booked Revenue</t>
  </si>
  <si>
    <t>Operating Profit</t>
  </si>
  <si>
    <t>Collected Revenue</t>
  </si>
  <si>
    <t>Debt Service</t>
  </si>
  <si>
    <t>Accounts Receivable</t>
  </si>
  <si>
    <t>Cash After Debt Service</t>
  </si>
  <si>
    <t>Operating expenses</t>
  </si>
  <si>
    <t>OPERATING SNAPSHOT</t>
  </si>
  <si>
    <t>Loads recorded</t>
  </si>
  <si>
    <t>Total miles</t>
  </si>
  <si>
    <t>Loaded miles</t>
  </si>
  <si>
    <t>Actual Cost per Mile</t>
  </si>
  <si>
    <t>Deadhead miles</t>
  </si>
  <si>
    <t>Fuel purchased (gallons)</t>
  </si>
  <si>
    <t>OPERATING COST MIX</t>
  </si>
  <si>
    <t>Category</t>
  </si>
  <si>
    <t>Amount</t>
  </si>
  <si>
    <t>Share</t>
  </si>
  <si>
    <t>Fuel</t>
  </si>
  <si>
    <t>Insurance</t>
  </si>
  <si>
    <t>Maintenance</t>
  </si>
  <si>
    <t>Accounting</t>
  </si>
  <si>
    <t>Parking</t>
  </si>
  <si>
    <t>Dispatch</t>
  </si>
  <si>
    <t>Tolls</t>
  </si>
  <si>
    <t>Repairs</t>
  </si>
  <si>
    <t>Factoring</t>
  </si>
  <si>
    <t>Office</t>
  </si>
  <si>
    <t>Phone</t>
  </si>
  <si>
    <t>Registration</t>
  </si>
  <si>
    <t>ELD</t>
  </si>
  <si>
    <t>Permits</t>
  </si>
  <si>
    <t>Total operating cost mix</t>
  </si>
  <si>
    <t>REPORT NOTES &amp; CONTROLS</t>
  </si>
  <si>
    <t>Prepared by OnRoad Books from the owner's own records. This is a summary of what happened, not a tax return, and it computes no tax liability.</t>
  </si>
  <si>
    <t>WORKBOOK NAVIGATION</t>
  </si>
  <si>
    <t>Loads</t>
  </si>
  <si>
    <t>Expenses</t>
  </si>
  <si>
    <t>Profit Loss</t>
  </si>
  <si>
    <t>Mileage</t>
  </si>
  <si>
    <t>Loads - Unit 101 - 2026</t>
  </si>
  <si>
    <t>ONROAD BOOKS  /  2026-09-01  /  FINANCIAL MODEL v3</t>
  </si>
  <si>
    <t>LOADS MOVED</t>
  </si>
  <si>
    <t>HOW MUCH YOU EARNED</t>
  </si>
  <si>
    <t>MILES RUN</t>
  </si>
  <si>
    <t>AFTER DIRECT TRIP COSTS</t>
  </si>
  <si>
    <t>Loads in this report</t>
  </si>
  <si>
    <t>Booked load revenue</t>
  </si>
  <si>
    <t>Loaded + deadhead</t>
  </si>
  <si>
    <t>Before shared operating costs</t>
  </si>
  <si>
    <t>LOAD &amp; ROUTE</t>
  </si>
  <si>
    <t>MILEAGE</t>
  </si>
  <si>
    <t>REVENUE</t>
  </si>
  <si>
    <t>DIRECT COSTS</t>
  </si>
  <si>
    <t>PROFITABILITY</t>
  </si>
  <si>
    <t>STATUS</t>
  </si>
  <si>
    <t>Truck</t>
  </si>
  <si>
    <t>Pickup Date</t>
  </si>
  <si>
    <t>Delivery Date</t>
  </si>
  <si>
    <t>Ending Odometer</t>
  </si>
  <si>
    <t>Load Number</t>
  </si>
  <si>
    <t>Broker</t>
  </si>
  <si>
    <t>Origin</t>
  </si>
  <si>
    <t>Destination</t>
  </si>
  <si>
    <t>Equipment</t>
  </si>
  <si>
    <t>Load Type</t>
  </si>
  <si>
    <t>Length (ft)</t>
  </si>
  <si>
    <t>Weight (lb)</t>
  </si>
  <si>
    <t>Commodity</t>
  </si>
  <si>
    <t>Loaded Miles</t>
  </si>
  <si>
    <t>Deadhead Miles</t>
  </si>
  <si>
    <t>Total Miles</t>
  </si>
  <si>
    <t>Deadhead %</t>
  </si>
  <si>
    <t>Gross Rate</t>
  </si>
  <si>
    <t>Rate/Loaded Mile</t>
  </si>
  <si>
    <t>Rate/Total Mile</t>
  </si>
  <si>
    <t>Other</t>
  </si>
  <si>
    <t>Driver Pay</t>
  </si>
  <si>
    <t>Direct Trip Costs</t>
  </si>
  <si>
    <t>Contribution Profit</t>
  </si>
  <si>
    <t>Contribution/Total Mile</t>
  </si>
  <si>
    <t>Contribution Margin %</t>
  </si>
  <si>
    <t>Rating</t>
  </si>
  <si>
    <t>Payment Status</t>
  </si>
  <si>
    <t>Notes</t>
  </si>
  <si>
    <t>Unit 101</t>
  </si>
  <si>
    <t>2026-08-28</t>
  </si>
  <si>
    <t>KF-25130</t>
  </si>
  <si>
    <t>Keystone Freight Partners</t>
  </si>
  <si>
    <t>Sterling, VA</t>
  </si>
  <si>
    <t>Winchester, VA</t>
  </si>
  <si>
    <t>Box truck</t>
  </si>
  <si>
    <t>Full load</t>
  </si>
  <si>
    <t>General freight</t>
  </si>
  <si>
    <t>GREAT</t>
  </si>
  <si>
    <t>PENDING</t>
  </si>
  <si>
    <t>Rate con signed, not yet invoiced.</t>
  </si>
  <si>
    <t>2026-08-27</t>
  </si>
  <si>
    <t>IB-5688</t>
  </si>
  <si>
    <t>Ironbridge Transport Services</t>
  </si>
  <si>
    <t>Harrisburg, PA</t>
  </si>
  <si>
    <t>GOOD</t>
  </si>
  <si>
    <t>2026-08-25</t>
  </si>
  <si>
    <t>SL-3452</t>
  </si>
  <si>
    <t>Summit Line Brokerage</t>
  </si>
  <si>
    <t>Richmond, VA</t>
  </si>
  <si>
    <t>INVOICED</t>
  </si>
  <si>
    <t>Best paying lane of the month.</t>
  </si>
  <si>
    <t>2026-08-24</t>
  </si>
  <si>
    <t>PFX-9155</t>
  </si>
  <si>
    <t>Potomac Freight Exchange</t>
  </si>
  <si>
    <t>Manassas, VA</t>
  </si>
  <si>
    <t>MARGINAL</t>
  </si>
  <si>
    <t>2026-08-21</t>
  </si>
  <si>
    <t>TB-1264</t>
  </si>
  <si>
    <t>Tidewater Brokerage Co.</t>
  </si>
  <si>
    <t>Baltimore, MD</t>
  </si>
  <si>
    <t>PAID</t>
  </si>
  <si>
    <t>2026-08-20</t>
  </si>
  <si>
    <t>CLS-40471</t>
  </si>
  <si>
    <t>Chesapeake Load Solutions</t>
  </si>
  <si>
    <t>Newark, NJ</t>
  </si>
  <si>
    <t>2026-08-19</t>
  </si>
  <si>
    <t>ND-7840</t>
  </si>
  <si>
    <t>Northline Dispatch Group</t>
  </si>
  <si>
    <t>Philadelphia, PA</t>
  </si>
  <si>
    <t>BAD</t>
  </si>
  <si>
    <t>2026-08-18</t>
  </si>
  <si>
    <t>KF-25044</t>
  </si>
  <si>
    <t>Frederick, MD</t>
  </si>
  <si>
    <t>2026-08-17</t>
  </si>
  <si>
    <t>PFX-9041</t>
  </si>
  <si>
    <t>Herndon, VA</t>
  </si>
  <si>
    <t>Short local run, quick turn.</t>
  </si>
  <si>
    <t>2026-08-14</t>
  </si>
  <si>
    <t>IB-5520</t>
  </si>
  <si>
    <t>Long deadhead back into home market.</t>
  </si>
  <si>
    <t>2026-08-12</t>
  </si>
  <si>
    <t>SL-3376</t>
  </si>
  <si>
    <t>Detention claim submitted, 1.5 hrs.</t>
  </si>
  <si>
    <t>2026-08-11</t>
  </si>
  <si>
    <t>KF-24902</t>
  </si>
  <si>
    <t>2026-08-10</t>
  </si>
  <si>
    <t>CLS-40318</t>
  </si>
  <si>
    <t>2026-08-07</t>
  </si>
  <si>
    <t>TB-1188</t>
  </si>
  <si>
    <t>2026-08-06</t>
  </si>
  <si>
    <t>PFX-8890</t>
  </si>
  <si>
    <t>2026-08-05</t>
  </si>
  <si>
    <t>CLS-40233</t>
  </si>
  <si>
    <t>Lumper fee at delivery, reimbursed on invoice.</t>
  </si>
  <si>
    <t>2026-08-04</t>
  </si>
  <si>
    <t>ND-7712</t>
  </si>
  <si>
    <t>2026-08-03</t>
  </si>
  <si>
    <t>KF-24815</t>
  </si>
  <si>
    <t>Palletized retail freight, dock-to-dock.</t>
  </si>
  <si>
    <t>2026-07-30</t>
  </si>
  <si>
    <t>GEN-20260717</t>
  </si>
  <si>
    <t>2026-07-29</t>
  </si>
  <si>
    <t>GEN-20260716</t>
  </si>
  <si>
    <t>2026-07-27</t>
  </si>
  <si>
    <t>GEN-20260715</t>
  </si>
  <si>
    <t>2026-07-25</t>
  </si>
  <si>
    <t>GEN-20260714</t>
  </si>
  <si>
    <t>2026-07-23</t>
  </si>
  <si>
    <t>GEN-20260713</t>
  </si>
  <si>
    <t>2026-07-22</t>
  </si>
  <si>
    <t>GEN-20260712</t>
  </si>
  <si>
    <t>2026-07-19</t>
  </si>
  <si>
    <t>GEN-20260711</t>
  </si>
  <si>
    <t>2026-07-16</t>
  </si>
  <si>
    <t>GEN-20260710</t>
  </si>
  <si>
    <t>2026-07-15</t>
  </si>
  <si>
    <t>GEN-20260709</t>
  </si>
  <si>
    <t>2026-07-14</t>
  </si>
  <si>
    <t>GEN-20260708</t>
  </si>
  <si>
    <t>2026-07-12</t>
  </si>
  <si>
    <t>GEN-20260707</t>
  </si>
  <si>
    <t>2026-07-10</t>
  </si>
  <si>
    <t>GEN-20260706</t>
  </si>
  <si>
    <t>2026-07-09</t>
  </si>
  <si>
    <t>GEN-20260705</t>
  </si>
  <si>
    <t>2026-07-08</t>
  </si>
  <si>
    <t>GEN-20260704</t>
  </si>
  <si>
    <t>2026-07-05</t>
  </si>
  <si>
    <t>GEN-20260703</t>
  </si>
  <si>
    <t>2026-07-04</t>
  </si>
  <si>
    <t>GEN-20260702</t>
  </si>
  <si>
    <t>2026-07-01</t>
  </si>
  <si>
    <t>GEN-20260701</t>
  </si>
  <si>
    <t>2026-06-29</t>
  </si>
  <si>
    <t>GEN-20260615</t>
  </si>
  <si>
    <t>2026-06-26</t>
  </si>
  <si>
    <t>GEN-20260614</t>
  </si>
  <si>
    <t>2026-06-24</t>
  </si>
  <si>
    <t>GEN-20260613</t>
  </si>
  <si>
    <t>2026-06-22</t>
  </si>
  <si>
    <t>GEN-20260612</t>
  </si>
  <si>
    <t>2026-06-20</t>
  </si>
  <si>
    <t>GEN-20260611</t>
  </si>
  <si>
    <t>2026-06-17</t>
  </si>
  <si>
    <t>GEN-20260610</t>
  </si>
  <si>
    <t>2026-06-14</t>
  </si>
  <si>
    <t>GEN-20260609</t>
  </si>
  <si>
    <t>2026-06-12</t>
  </si>
  <si>
    <t>GEN-20260608</t>
  </si>
  <si>
    <t>2026-06-11</t>
  </si>
  <si>
    <t>GEN-20260607</t>
  </si>
  <si>
    <t>2026-06-10</t>
  </si>
  <si>
    <t>GEN-20260606</t>
  </si>
  <si>
    <t>2026-06-09</t>
  </si>
  <si>
    <t>GEN-20260605</t>
  </si>
  <si>
    <t>2026-06-08</t>
  </si>
  <si>
    <t>GEN-20260604</t>
  </si>
  <si>
    <t>2026-06-05</t>
  </si>
  <si>
    <t>GEN-20260603</t>
  </si>
  <si>
    <t>2026-06-03</t>
  </si>
  <si>
    <t>GEN-20260602</t>
  </si>
  <si>
    <t>2026-06-01</t>
  </si>
  <si>
    <t>GEN-20260601</t>
  </si>
  <si>
    <t>2026-05-30</t>
  </si>
  <si>
    <t>GEN-20260514</t>
  </si>
  <si>
    <t>2026-05-27</t>
  </si>
  <si>
    <t>GEN-20260513</t>
  </si>
  <si>
    <t>2026-05-24</t>
  </si>
  <si>
    <t>GEN-20260512</t>
  </si>
  <si>
    <t>2026-05-21</t>
  </si>
  <si>
    <t>GEN-20260511</t>
  </si>
  <si>
    <t>2026-05-20</t>
  </si>
  <si>
    <t>GEN-20260510</t>
  </si>
  <si>
    <t>2026-05-17</t>
  </si>
  <si>
    <t>GEN-20260509</t>
  </si>
  <si>
    <t>2026-05-14</t>
  </si>
  <si>
    <t>GEN-20260508</t>
  </si>
  <si>
    <t>2026-05-13</t>
  </si>
  <si>
    <t>GEN-20260507</t>
  </si>
  <si>
    <t>2026-05-12</t>
  </si>
  <si>
    <t>GEN-20260506</t>
  </si>
  <si>
    <t>2026-05-10</t>
  </si>
  <si>
    <t>GEN-20260505</t>
  </si>
  <si>
    <t>2026-05-07</t>
  </si>
  <si>
    <t>GEN-20260504</t>
  </si>
  <si>
    <t>2026-05-04</t>
  </si>
  <si>
    <t>GEN-20260503</t>
  </si>
  <si>
    <t>2026-05-03</t>
  </si>
  <si>
    <t>GEN-20260502</t>
  </si>
  <si>
    <t>2026-05-02</t>
  </si>
  <si>
    <t>GEN-20260501</t>
  </si>
  <si>
    <t>Expenses - Unit 101 - 2026</t>
  </si>
  <si>
    <t>HOW MUCH WENT OUT</t>
  </si>
  <si>
    <t>BUSINESS EXPENSES</t>
  </si>
  <si>
    <t>DEBT PAYMENTS</t>
  </si>
  <si>
    <t>TRANSACTIONS</t>
  </si>
  <si>
    <t>All recorded cash activity</t>
  </si>
  <si>
    <t>Costs used in operating profit</t>
  </si>
  <si>
    <t>Interest + principal</t>
  </si>
  <si>
    <t>Rows included below</t>
  </si>
  <si>
    <t>ASSIGNMENT</t>
  </si>
  <si>
    <t>CLASSIFICATION</t>
  </si>
  <si>
    <t>TRANSACTION</t>
  </si>
  <si>
    <t>REFERENCES</t>
  </si>
  <si>
    <t>Charged To</t>
  </si>
  <si>
    <t>Date</t>
  </si>
  <si>
    <t>Financial Treatment</t>
  </si>
  <si>
    <t>Fixed/Variable</t>
  </si>
  <si>
    <t>Description</t>
  </si>
  <si>
    <t>Vendor</t>
  </si>
  <si>
    <t>Receipt Number</t>
  </si>
  <si>
    <t>Recurring</t>
  </si>
  <si>
    <t>Linked Load</t>
  </si>
  <si>
    <t>2026-08-31</t>
  </si>
  <si>
    <t>Operating Expense</t>
  </si>
  <si>
    <t>Variable</t>
  </si>
  <si>
    <t>Dispatch fee - week of Aug 24 (5%)</t>
  </si>
  <si>
    <t>No</t>
  </si>
  <si>
    <t>2026-08-30</t>
  </si>
  <si>
    <t>Fixed</t>
  </si>
  <si>
    <t>IRP apportioned plate installment</t>
  </si>
  <si>
    <t>VA DMV</t>
  </si>
  <si>
    <t>2026-08-29</t>
  </si>
  <si>
    <t>Factoring fee - invoice batch 08B (2.5%)</t>
  </si>
  <si>
    <t>Cardinal Freight Factoring</t>
  </si>
  <si>
    <t>Fuel - 39.4 gal @ 3.869/gal</t>
  </si>
  <si>
    <t>2026-08-26</t>
  </si>
  <si>
    <t>MD/PA temporary permit renewal</t>
  </si>
  <si>
    <t>State DOT</t>
  </si>
  <si>
    <t>Fuel - 41.5 gal @ 3.789/gal</t>
  </si>
  <si>
    <t>E-ZPass replenishment</t>
  </si>
  <si>
    <t>E-ZPass</t>
  </si>
  <si>
    <t>Dispatch fee - week of Aug 17 (5%)</t>
  </si>
  <si>
    <t>2026-08-22</t>
  </si>
  <si>
    <t>Tire rotation + balance</t>
  </si>
  <si>
    <t>Frederick Truck Center</t>
  </si>
  <si>
    <t>Fuel - 43.7 gal @ 4.099/gal</t>
  </si>
  <si>
    <t>Load straps, moving blankets, supplies</t>
  </si>
  <si>
    <t>Freight Supply Depot</t>
  </si>
  <si>
    <t>Rear roll-door roller + seal replacement</t>
  </si>
  <si>
    <t>Winchester Fleet Repair</t>
  </si>
  <si>
    <t>Door was binding in the track.</t>
  </si>
  <si>
    <t>Fuel - 38.9 gal @ 3.829/gal</t>
  </si>
  <si>
    <t>Dispatch fee - week of Aug 10 (5%)</t>
  </si>
  <si>
    <t>2026-08-15</t>
  </si>
  <si>
    <t>Factoring fee - invoice batch 08A (2.5%)</t>
  </si>
  <si>
    <t>Monthly bookkeeping</t>
  </si>
  <si>
    <t>Ledgerline Bookkeeping</t>
  </si>
  <si>
    <t>Yes</t>
  </si>
  <si>
    <t>2026-08-13</t>
  </si>
  <si>
    <t>Fuel - 45.2 gal @ 3.959/gal</t>
  </si>
  <si>
    <t>2026-08-08</t>
  </si>
  <si>
    <t>Fuel - 40.8 gal @ 3.849/gal</t>
  </si>
  <si>
    <t>Air filter + chassis lube</t>
  </si>
  <si>
    <t>Herndon Diesel Service</t>
  </si>
  <si>
    <t>Fuel - 44.1 gal @ 4.129/gal</t>
  </si>
  <si>
    <t>E-ZPass replenishment - I-95 corridor</t>
  </si>
  <si>
    <t>Fuel - 42.6 gal @ 3.899/gal</t>
  </si>
  <si>
    <t>2026-08-02</t>
  </si>
  <si>
    <t>Business line</t>
  </si>
  <si>
    <t>Cellwave Mobile</t>
  </si>
  <si>
    <t>ELD subscription</t>
  </si>
  <si>
    <t>RouteLink ELD</t>
  </si>
  <si>
    <t>2026-08-01</t>
  </si>
  <si>
    <t>Monthly yard parking</t>
  </si>
  <si>
    <t>Sterling Truck Yard</t>
  </si>
  <si>
    <t>Commercial auto + cargo premium</t>
  </si>
  <si>
    <t>Beacon Commercial Insurance</t>
  </si>
  <si>
    <t>Truck Payment (Unallocated)</t>
  </si>
  <si>
    <t>Unallocated Debt Service</t>
  </si>
  <si>
    <t>Truck note - August</t>
  </si>
  <si>
    <t>Meridian Equipment Finance</t>
  </si>
  <si>
    <t>Fuel - 49.2 gal</t>
  </si>
  <si>
    <t>Fuel stop</t>
  </si>
  <si>
    <t>Supplies</t>
  </si>
  <si>
    <t>Factoring fee</t>
  </si>
  <si>
    <t>2026-07-21</t>
  </si>
  <si>
    <t>Fuel - 46.4 gal</t>
  </si>
  <si>
    <t>Dispatch fee</t>
  </si>
  <si>
    <t>2026-07-18</t>
  </si>
  <si>
    <t>Unscheduled repair</t>
  </si>
  <si>
    <t>2026-07-17</t>
  </si>
  <si>
    <t>Fuel - 52.3 gal</t>
  </si>
  <si>
    <t>Fuel - 53.8 gal</t>
  </si>
  <si>
    <t>Scheduled service</t>
  </si>
  <si>
    <t>Fuel - 49.6 gal</t>
  </si>
  <si>
    <t>2026-07-06</t>
  </si>
  <si>
    <t>Fuel - 48.9 gal</t>
  </si>
  <si>
    <t>2026-07-02</t>
  </si>
  <si>
    <t>Fuel - 48.7 gal</t>
  </si>
  <si>
    <t>Truck note</t>
  </si>
  <si>
    <t>2026-06-25</t>
  </si>
  <si>
    <t>Fuel - 33.7 gal</t>
  </si>
  <si>
    <t>Fuel - 34.6 gal</t>
  </si>
  <si>
    <t>2026-06-19</t>
  </si>
  <si>
    <t>2026-06-18</t>
  </si>
  <si>
    <t>Fuel - 36.5 gal</t>
  </si>
  <si>
    <t>2026-06-15</t>
  </si>
  <si>
    <t>Fuel - 35.6 gal</t>
  </si>
  <si>
    <t>Fuel - 31.9 gal</t>
  </si>
  <si>
    <t>Fuel - 35.5 gal</t>
  </si>
  <si>
    <t>Fuel - 32.6 gal</t>
  </si>
  <si>
    <t>2026-06-02</t>
  </si>
  <si>
    <t>Fuel - 37.9 gal</t>
  </si>
  <si>
    <t>2026-05-25</t>
  </si>
  <si>
    <t>Fuel - 41.2 gal</t>
  </si>
  <si>
    <t>2026-05-22</t>
  </si>
  <si>
    <t>Fuel - 38.5 gal</t>
  </si>
  <si>
    <t>2026-05-19</t>
  </si>
  <si>
    <t>Fuel - 35.4 gal</t>
  </si>
  <si>
    <t>2026-05-15</t>
  </si>
  <si>
    <t>2026-05-08</t>
  </si>
  <si>
    <t>2026-05-06</t>
  </si>
  <si>
    <t>Fuel - 40.9 gal</t>
  </si>
  <si>
    <t>2026-05-01</t>
  </si>
  <si>
    <t>Fuel - Unit 101 - 2026</t>
  </si>
  <si>
    <t>HOW MUCH YOU SPENT</t>
  </si>
  <si>
    <t>GALLONS PURCHASED</t>
  </si>
  <si>
    <t>AVERAGE PRICE</t>
  </si>
  <si>
    <t>FUEL STOPS</t>
  </si>
  <si>
    <t>Recorded fuel purchases</t>
  </si>
  <si>
    <t>Fuel volume recorded</t>
  </si>
  <si>
    <t>Weighted price per gallon</t>
  </si>
  <si>
    <t>Purchases in this period</t>
  </si>
  <si>
    <t>FUEL ACTIVITY</t>
  </si>
  <si>
    <t>LINKAGE</t>
  </si>
  <si>
    <t>Location</t>
  </si>
  <si>
    <t>Gallons</t>
  </si>
  <si>
    <t>Price/Gallon</t>
  </si>
  <si>
    <t>Total Cost</t>
  </si>
  <si>
    <t>Odometer</t>
  </si>
  <si>
    <t>TOTALS</t>
  </si>
  <si>
    <t>Fuel cost per mile: 0.43</t>
  </si>
  <si>
    <t>Miles per gallon: 9.06</t>
  </si>
  <si>
    <t>Financial Summary - Unit 101 - 2026</t>
  </si>
  <si>
    <t>YOU EARNED</t>
  </si>
  <si>
    <t>YOUR BUSINESS MADE</t>
  </si>
  <si>
    <t>Revenue booked in the period</t>
  </si>
  <si>
    <t>Operating costs</t>
  </si>
  <si>
    <t>Revenue less operating costs</t>
  </si>
  <si>
    <t>Collected cash less outflows</t>
  </si>
  <si>
    <t>FINANCIAL STATEMENT</t>
  </si>
  <si>
    <t>Line</t>
  </si>
  <si>
    <t>Per Total Mile</t>
  </si>
  <si>
    <t>Period</t>
  </si>
  <si>
    <t>2026</t>
  </si>
  <si>
    <t>2026-01-01 to 2026-12-31</t>
  </si>
  <si>
    <t>Calculation model</t>
  </si>
  <si>
    <t>v3</t>
  </si>
  <si>
    <t>Canonical financial terminology</t>
  </si>
  <si>
    <t>PERFORMANCE</t>
  </si>
  <si>
    <t>64 loads</t>
  </si>
  <si>
    <t>OPERATING EXPENSES</t>
  </si>
  <si>
    <t>Total operating expenses</t>
  </si>
  <si>
    <t>Fixed expenses</t>
  </si>
  <si>
    <t>Variable expenses</t>
  </si>
  <si>
    <t>RESULT</t>
  </si>
  <si>
    <t>61.1% margin</t>
  </si>
  <si>
    <t>CASH AND FINANCING</t>
  </si>
  <si>
    <t>Assigned by recorded payment date</t>
  </si>
  <si>
    <t>Booked but unpaid; not available cash</t>
  </si>
  <si>
    <t>Paid revenue without payment date</t>
  </si>
  <si>
    <t>Not guessed into a cash period</t>
  </si>
  <si>
    <t>Interest Expense</t>
  </si>
  <si>
    <t>Financing cost</t>
  </si>
  <si>
    <t>Principal Payment</t>
  </si>
  <si>
    <t>Cash use; not an operating expense</t>
  </si>
  <si>
    <t>Historical unsplit truck payments</t>
  </si>
  <si>
    <t>Interest + principal + unallocated payments</t>
  </si>
  <si>
    <t>Collected Revenue less cash operating costs and Debt Service</t>
  </si>
  <si>
    <t>BROKERS</t>
  </si>
  <si>
    <t>17 loads, 7529.68 Contribution Profit</t>
  </si>
  <si>
    <t>11 loads, 5143.3 Contribution Profit</t>
  </si>
  <si>
    <t>9 loads, 4385.78 Contribution Profit</t>
  </si>
  <si>
    <t>9 loads, 4350.32 Contribution Profit</t>
  </si>
  <si>
    <t>6 loads, 2966.63 Contribution Profit</t>
  </si>
  <si>
    <t>7 loads, 2833.49 Contribution Profit</t>
  </si>
  <si>
    <t>5 loads, 1762.74 Contribution Profit</t>
  </si>
  <si>
    <t>Mileage - Unit 101 - 2026</t>
  </si>
  <si>
    <t>TRIPS</t>
  </si>
  <si>
    <t>LOADED MILES</t>
  </si>
  <si>
    <t>DEADHEAD MILES</t>
  </si>
  <si>
    <t>DEADHEAD RATE</t>
  </si>
  <si>
    <t>Loads with mileage</t>
  </si>
  <si>
    <t>Revenue-producing miles</t>
  </si>
  <si>
    <t>Miles without freight</t>
  </si>
  <si>
    <t>Share of total miles</t>
  </si>
  <si>
    <t>TRIP</t>
  </si>
  <si>
    <t>MILES</t>
  </si>
  <si>
    <t>Deadhead cost (1.29/mi Actual Cost): 2618.7</t>
  </si>
  <si>
    <t>Deadhead cost per total mile: 0.232</t>
  </si>
  <si>
    <t>Maintenance - Unit 101 - 2026</t>
  </si>
  <si>
    <t>SERVICE RECORDS</t>
  </si>
  <si>
    <t>TRUCKS SERVICED</t>
  </si>
  <si>
    <t>NEXT SERVICE SET</t>
  </si>
  <si>
    <t>Recorded maintenance cost</t>
  </si>
  <si>
    <t>Completed work below</t>
  </si>
  <si>
    <t>Distinct units</t>
  </si>
  <si>
    <t>Records with a due trigger</t>
  </si>
  <si>
    <t>SERVICE RECORD</t>
  </si>
  <si>
    <t>NEXT SERVICE</t>
  </si>
  <si>
    <t>Service Date</t>
  </si>
  <si>
    <t>Type</t>
  </si>
  <si>
    <t>Tracked By</t>
  </si>
  <si>
    <t>Cost</t>
  </si>
  <si>
    <t>Next Service Date</t>
  </si>
  <si>
    <t>Next Service Odometer</t>
  </si>
  <si>
    <t>In Expense Ledger</t>
  </si>
  <si>
    <t>Fuel Filter</t>
  </si>
  <si>
    <t>Oil Change</t>
  </si>
  <si>
    <t>BOTH</t>
  </si>
  <si>
    <t>2026-11-22</t>
  </si>
  <si>
    <t>10,000 mile interval on city duty cycle.</t>
  </si>
  <si>
    <t>2026-03-02</t>
  </si>
  <si>
    <t>State Inspection</t>
  </si>
  <si>
    <t>DATE</t>
  </si>
  <si>
    <t>2027-03-02</t>
  </si>
  <si>
    <t>2026-02-14</t>
  </si>
  <si>
    <t>Tires</t>
  </si>
  <si>
    <t>Six drive tires replaced.</t>
  </si>
  <si>
    <t>2026-01-15</t>
  </si>
  <si>
    <t>2027-01-15</t>
  </si>
  <si>
    <t>IRP apportioned plate, billed in installments.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</si>
</sst>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#,##0.00;[Red]($#,##0.00);-"/>
    <numFmt numFmtId="165" formatCode="#,##0;[Red](#,##0);-"/>
    <numFmt numFmtId="166" formatCode="$0.00;[Red]($0.00);-"/>
    <numFmt numFmtId="167" formatCode="0.0%"/>
    <numFmt numFmtId="168" formatCode="0.0&quot;%&quot;;[Red](0.0&quot;%&quot;);-"/>
    <numFmt numFmtId="169" formatCode="#,##0.00;[Red](#,##0.00);-"/>
  </numFmts>
  <fonts count="21" x14ac:knownFonts="1">
    <font>
      <color theme="1"/>
      <family val="2"/>
      <scheme val="minor"/>
      <sz val="11"/>
      <name val="Calibri"/>
    </font>
    <font>
      <b/>
      <color rgb="FFFFFFFF"/>
      <sz val="22"/>
      <name val="Aptos Display"/>
    </font>
    <font>
      <b/>
      <color rgb="FF607286"/>
      <sz val="9"/>
      <name val="Aptos"/>
    </font>
    <font>
      <b/>
      <color rgb="FF1687D9"/>
      <sz val="20"/>
      <name val="Aptos Display"/>
    </font>
    <font>
      <b/>
      <color rgb="FF16A36A"/>
      <sz val="20"/>
      <name val="Aptos Display"/>
    </font>
    <font>
      <b/>
      <color rgb="FF153A5B"/>
      <sz val="20"/>
      <name val="Aptos Display"/>
    </font>
    <font>
      <i/>
      <color rgb="FF607286"/>
      <sz val="8"/>
      <name val="Aptos"/>
    </font>
    <font>
      <b/>
      <color rgb="FFFFFFFF"/>
      <sz val="10"/>
      <name val="Aptos"/>
    </font>
    <font>
      <color rgb="FF607286"/>
      <sz val="10"/>
      <name val="Aptos"/>
    </font>
    <font>
      <b/>
      <color rgb="FF152332"/>
      <sz val="10"/>
      <name val="Aptos"/>
    </font>
    <font>
      <b/>
      <color rgb="FF153A5B"/>
      <sz val="9"/>
      <name val="Aptos"/>
    </font>
    <font>
      <color rgb="FF152332"/>
      <sz val="10"/>
      <name val="Aptos"/>
    </font>
    <font>
      <i/>
      <color rgb="FF607286"/>
      <sz val="10"/>
      <name val="Aptos"/>
    </font>
    <font>
      <b/>
      <u/>
      <color rgb="FF1687D9"/>
      <sz val="10"/>
      <name val="Aptos"/>
    </font>
    <font>
      <b/>
      <color rgb="FFFFFFFF"/>
      <sz val="18"/>
      <name val="Aptos Display"/>
    </font>
    <font>
      <b/>
      <color rgb="FF1687D9"/>
      <sz val="9"/>
      <name val="Aptos"/>
    </font>
    <font>
      <b/>
      <color rgb="FF16A36A"/>
      <sz val="9"/>
      <name val="Aptos"/>
    </font>
    <font>
      <b/>
      <color rgb="FFE5A000"/>
      <sz val="9"/>
      <name val="Aptos"/>
    </font>
    <font>
      <b/>
      <color rgb="FFD64545"/>
      <sz val="9"/>
      <name val="Aptos"/>
    </font>
    <font>
      <b/>
      <color rgb="FFD64545"/>
      <sz val="20"/>
      <name val="Aptos Display"/>
    </font>
    <font>
      <b/>
      <color rgb="FFE5A000"/>
      <sz val="20"/>
      <name val="Aptos Display"/>
    </font>
  </fonts>
  <fills count="11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5F8FB"/>
      </patternFill>
    </fill>
    <fill>
      <patternFill patternType="solid">
        <fgColor rgb="FF153A5B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E8F6EF"/>
      </patternFill>
    </fill>
    <fill>
      <patternFill patternType="solid">
        <fgColor rgb="FFF0F6FA"/>
      </patternFill>
    </fill>
    <fill>
      <patternFill patternType="solid">
        <fgColor rgb="FFFFF5D9"/>
      </patternFill>
    </fill>
    <fill>
      <patternFill patternType="solid">
        <fgColor rgb="FFFCEBEC"/>
      </patternFill>
    </fill>
  </fills>
  <borders count="13">
    <border>
      <left/>
      <right/>
      <top/>
      <bottom/>
      <diagonal/>
    </border>
    <border>
      <left/>
      <right style="thin">
        <color rgb="FFD9E3EC"/>
      </right>
      <top style="medium">
        <color rgb="FF1687D9"/>
      </top>
      <bottom/>
      <diagonal/>
    </border>
    <border>
      <left/>
      <right style="thin">
        <color rgb="FFD9E3EC"/>
      </right>
      <top style="medium">
        <color rgb="FF16A36A"/>
      </top>
      <bottom/>
      <diagonal/>
    </border>
    <border>
      <left/>
      <right style="thin">
        <color rgb="FFD9E3EC"/>
      </right>
      <top style="medium">
        <color rgb="FF153A5B"/>
      </top>
      <bottom/>
      <diagonal/>
    </border>
    <border>
      <left/>
      <right style="thin">
        <color rgb="FFD9E3EC"/>
      </right>
      <top/>
      <bottom/>
      <diagonal/>
    </border>
    <border>
      <left/>
      <right style="thin">
        <color rgb="FFD9E3EC"/>
      </right>
      <top/>
      <bottom style="thin">
        <color rgb="FFD9E3EC"/>
      </bottom>
      <diagonal/>
    </border>
    <border>
      <left/>
      <right/>
      <top/>
      <bottom style="hair">
        <color rgb="FFD9E3EC"/>
      </bottom>
      <diagonal/>
    </border>
    <border>
      <left/>
      <right/>
      <top/>
      <bottom style="thin">
        <color rgb="FF1687D9"/>
      </bottom>
      <diagonal/>
    </border>
    <border>
      <left/>
      <right/>
      <top style="thin">
        <color rgb="FF16A36A"/>
      </top>
      <bottom/>
      <diagonal/>
    </border>
    <border>
      <left/>
      <right/>
      <top/>
      <bottom style="thin">
        <color rgb="FFD9E3EC"/>
      </bottom>
      <diagonal/>
    </border>
    <border>
      <left/>
      <right style="thin">
        <color rgb="FFD9E3EC"/>
      </right>
      <top style="medium">
        <color rgb="FFD64545"/>
      </top>
      <bottom/>
      <diagonal/>
    </border>
    <border>
      <left/>
      <right style="thin">
        <color rgb="FFD9E3EC"/>
      </right>
      <top style="medium">
        <color rgb="FFE5A000"/>
      </top>
      <bottom/>
      <diagonal/>
    </border>
    <border>
      <left/>
      <right/>
      <top style="thin">
        <color rgb="FF16A36A"/>
      </top>
      <bottom style="thin">
        <color rgb="FFD9E3E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64" fontId="3" fillId="3" borderId="4" xfId="0" applyNumberFormat="1" applyFont="1" applyFill="1" applyBorder="1" applyAlignment="1">
      <alignment horizontal="left" vertical="center"/>
    </xf>
    <xf numFmtId="164" fontId="4" fillId="3" borderId="4" xfId="0" applyNumberFormat="1" applyFont="1" applyFill="1" applyBorder="1" applyAlignment="1">
      <alignment horizontal="left" vertical="center"/>
    </xf>
    <xf numFmtId="165" fontId="5" fillId="3" borderId="4" xfId="0" applyNumberFormat="1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8" fillId="5" borderId="6" xfId="0" applyFont="1" applyFill="1" applyBorder="1" applyAlignment="1">
      <alignment horizontal="left" vertical="center"/>
    </xf>
    <xf numFmtId="164" fontId="9" fillId="5" borderId="6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left" vertical="center"/>
    </xf>
    <xf numFmtId="164" fontId="9" fillId="3" borderId="6" xfId="0" applyNumberFormat="1" applyFont="1" applyFill="1" applyBorder="1" applyAlignment="1">
      <alignment horizontal="right" vertical="center"/>
    </xf>
    <xf numFmtId="165" fontId="9" fillId="3" borderId="6" xfId="0" applyNumberFormat="1" applyFont="1" applyFill="1" applyBorder="1" applyAlignment="1">
      <alignment horizontal="right" vertical="center"/>
    </xf>
    <xf numFmtId="165" fontId="9" fillId="5" borderId="6" xfId="0" applyNumberFormat="1" applyFont="1" applyFill="1" applyBorder="1" applyAlignment="1">
      <alignment horizontal="right" vertical="center"/>
    </xf>
    <xf numFmtId="166" fontId="9" fillId="5" borderId="6" xfId="0" applyNumberFormat="1" applyFont="1" applyFill="1" applyBorder="1" applyAlignment="1">
      <alignment horizontal="right" vertical="center"/>
    </xf>
    <xf numFmtId="0" fontId="10" fillId="6" borderId="7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164" fontId="11" fillId="5" borderId="6" xfId="0" applyNumberFormat="1" applyFont="1" applyFill="1" applyBorder="1" applyAlignment="1">
      <alignment horizontal="right" vertical="center"/>
    </xf>
    <xf numFmtId="167" fontId="11" fillId="5" borderId="6" xfId="0" applyNumberFormat="1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164" fontId="11" fillId="3" borderId="6" xfId="0" applyNumberFormat="1" applyFont="1" applyFill="1" applyBorder="1" applyAlignment="1">
      <alignment horizontal="right" vertical="center"/>
    </xf>
    <xf numFmtId="167" fontId="11" fillId="3" borderId="6" xfId="0" applyNumberFormat="1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left" vertical="center"/>
    </xf>
    <xf numFmtId="164" fontId="9" fillId="7" borderId="8" xfId="0" applyNumberFormat="1" applyFont="1" applyFill="1" applyBorder="1" applyAlignment="1">
      <alignment horizontal="left" vertical="center"/>
    </xf>
    <xf numFmtId="167" fontId="9" fillId="7" borderId="8" xfId="0" applyNumberFormat="1" applyFont="1" applyFill="1" applyBorder="1" applyAlignment="1">
      <alignment horizontal="left" vertical="center"/>
    </xf>
    <xf numFmtId="0" fontId="12" fillId="3" borderId="0" xfId="0" applyFont="1" applyFill="1" applyAlignment="1">
      <alignment vertical="center" wrapText="1"/>
    </xf>
    <xf numFmtId="0" fontId="10" fillId="0" borderId="0" xfId="0" applyFont="1"/>
    <xf numFmtId="0" fontId="13" fillId="0" borderId="0" xfId="0" applyFont="1"/>
    <xf numFmtId="0" fontId="14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10" fillId="6" borderId="9" xfId="0" applyFont="1" applyFill="1" applyBorder="1" applyAlignment="1">
      <alignment horizontal="left" vertical="center"/>
    </xf>
    <xf numFmtId="0" fontId="15" fillId="8" borderId="9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165" fontId="11" fillId="5" borderId="6" xfId="0" applyNumberFormat="1" applyFont="1" applyFill="1" applyBorder="1" applyAlignment="1">
      <alignment horizontal="right" vertical="center"/>
    </xf>
    <xf numFmtId="168" fontId="11" fillId="5" borderId="6" xfId="0" applyNumberFormat="1" applyFont="1" applyFill="1" applyBorder="1" applyAlignment="1">
      <alignment horizontal="right" vertical="center"/>
    </xf>
    <xf numFmtId="169" fontId="11" fillId="5" borderId="6" xfId="0" applyNumberFormat="1" applyFont="1" applyFill="1" applyBorder="1" applyAlignment="1">
      <alignment horizontal="right" vertical="center"/>
    </xf>
    <xf numFmtId="0" fontId="16" fillId="7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 wrapText="1"/>
    </xf>
    <xf numFmtId="165" fontId="11" fillId="3" borderId="6" xfId="0" applyNumberFormat="1" applyFont="1" applyFill="1" applyBorder="1" applyAlignment="1">
      <alignment horizontal="right" vertical="center"/>
    </xf>
    <xf numFmtId="168" fontId="11" fillId="3" borderId="6" xfId="0" applyNumberFormat="1" applyFont="1" applyFill="1" applyBorder="1" applyAlignment="1">
      <alignment horizontal="right" vertical="center"/>
    </xf>
    <xf numFmtId="169" fontId="11" fillId="3" borderId="6" xfId="0" applyNumberFormat="1" applyFont="1" applyFill="1" applyBorder="1" applyAlignment="1">
      <alignment horizontal="right" vertical="center"/>
    </xf>
    <xf numFmtId="0" fontId="11" fillId="3" borderId="6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164" fontId="19" fillId="3" borderId="4" xfId="0" applyNumberFormat="1" applyFont="1" applyFill="1" applyBorder="1" applyAlignment="1">
      <alignment horizontal="left" vertical="center"/>
    </xf>
    <xf numFmtId="164" fontId="20" fillId="3" borderId="4" xfId="0" applyNumberFormat="1" applyFont="1" applyFill="1" applyBorder="1" applyAlignment="1">
      <alignment horizontal="left" vertical="center"/>
    </xf>
    <xf numFmtId="169" fontId="3" fillId="3" borderId="4" xfId="0" applyNumberFormat="1" applyFont="1" applyFill="1" applyBorder="1" applyAlignment="1">
      <alignment horizontal="left" vertical="center"/>
    </xf>
    <xf numFmtId="166" fontId="20" fillId="3" borderId="4" xfId="0" applyNumberFormat="1" applyFont="1" applyFill="1" applyBorder="1" applyAlignment="1">
      <alignment horizontal="left" vertical="center"/>
    </xf>
    <xf numFmtId="166" fontId="11" fillId="5" borderId="6" xfId="0" applyNumberFormat="1" applyFont="1" applyFill="1" applyBorder="1" applyAlignment="1">
      <alignment horizontal="right" vertical="center"/>
    </xf>
    <xf numFmtId="166" fontId="11" fillId="3" borderId="6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0" fontId="9" fillId="7" borderId="12" xfId="0" applyFont="1" applyFill="1" applyBorder="1" applyAlignment="1">
      <alignment horizontal="left" vertical="center"/>
    </xf>
    <xf numFmtId="169" fontId="9" fillId="7" borderId="12" xfId="0" applyNumberFormat="1" applyFont="1" applyFill="1" applyBorder="1" applyAlignment="1">
      <alignment horizontal="right" vertical="center"/>
    </xf>
    <xf numFmtId="166" fontId="9" fillId="7" borderId="12" xfId="0" applyNumberFormat="1" applyFont="1" applyFill="1" applyBorder="1" applyAlignment="1">
      <alignment horizontal="right" vertical="center"/>
    </xf>
    <xf numFmtId="164" fontId="9" fillId="7" borderId="12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/>
    </xf>
    <xf numFmtId="0" fontId="10" fillId="6" borderId="7" xfId="0" applyFont="1" applyFill="1" applyBorder="1" applyAlignment="1">
      <alignment horizontal="left" vertical="center" wrapText="1"/>
    </xf>
    <xf numFmtId="164" fontId="10" fillId="6" borderId="7" xfId="0" applyNumberFormat="1" applyFont="1" applyFill="1" applyBorder="1" applyAlignment="1">
      <alignment horizontal="right" vertical="center"/>
    </xf>
    <xf numFmtId="165" fontId="10" fillId="6" borderId="7" xfId="0" applyNumberFormat="1" applyFont="1" applyFill="1" applyBorder="1" applyAlignment="1">
      <alignment horizontal="right" vertical="center"/>
    </xf>
    <xf numFmtId="165" fontId="9" fillId="7" borderId="12" xfId="0" applyNumberFormat="1" applyFont="1" applyFill="1" applyBorder="1" applyAlignment="1">
      <alignment horizontal="right" vertical="center"/>
    </xf>
    <xf numFmtId="0" fontId="9" fillId="7" borderId="12" xfId="0" applyFont="1" applyFill="1" applyBorder="1" applyAlignment="1">
      <alignment horizontal="left" vertical="center" wrapText="1"/>
    </xf>
    <xf numFmtId="165" fontId="3" fillId="3" borderId="4" xfId="0" applyNumberFormat="1" applyFont="1" applyFill="1" applyBorder="1" applyAlignment="1">
      <alignment horizontal="left" vertical="center"/>
    </xf>
    <xf numFmtId="165" fontId="20" fillId="3" borderId="4" xfId="0" applyNumberFormat="1" applyFont="1" applyFill="1" applyBorder="1" applyAlignment="1">
      <alignment horizontal="left" vertical="center"/>
    </xf>
    <xf numFmtId="168" fontId="4" fillId="3" borderId="4" xfId="0" applyNumberFormat="1" applyFont="1" applyFill="1" applyBorder="1" applyAlignment="1">
      <alignment horizontal="left" vertical="center"/>
    </xf>
    <xf numFmtId="168" fontId="9" fillId="7" borderId="1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Loads&apos;!A1" TargetMode="External"/><Relationship Id="rId2" Type="http://schemas.openxmlformats.org/officeDocument/2006/relationships/hyperlink" Target="#&apos;Expenses&apos;!A1" TargetMode="External"/><Relationship Id="rId3" Type="http://schemas.openxmlformats.org/officeDocument/2006/relationships/hyperlink" Target="#&apos;Fuel&apos;!A1" TargetMode="External"/><Relationship Id="rId4" Type="http://schemas.openxmlformats.org/officeDocument/2006/relationships/hyperlink" Target="#&apos;Profit Loss&apos;!A1" TargetMode="External"/><Relationship Id="rId5" Type="http://schemas.openxmlformats.org/officeDocument/2006/relationships/hyperlink" Target="#&apos;Mileage&apos;!A1" TargetMode="External"/><Relationship Id="rId6" Type="http://schemas.openxmlformats.org/officeDocument/2006/relationships/hyperlink" Target="#&apos;Maintenanc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workbookViewId="0" showGridLines="0" zoomScale="95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" customWidth="1"/>
    <col min="2" max="2" width="21" customWidth="1"/>
    <col min="3" max="3" width="16" customWidth="1"/>
    <col min="4" max="4" width="3" customWidth="1"/>
    <col min="5" max="5" width="21" customWidth="1"/>
    <col min="6" max="6" width="16" customWidth="1"/>
    <col min="7" max="7" width="3" customWidth="1"/>
    <col min="8" max="8" width="23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3" ht="23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/>
      <c r="C5" s="4" t="s">
        <v>3</v>
      </c>
      <c r="D5" s="4"/>
      <c r="E5" s="4" t="s">
        <v>4</v>
      </c>
      <c r="F5" s="4"/>
      <c r="G5" s="5" t="s">
        <v>5</v>
      </c>
      <c r="H5" s="5"/>
    </row>
    <row r="6" spans="1:8" x14ac:dyDescent="0.25">
      <c r="A6" s="6">
        <v>37570</v>
      </c>
      <c r="B6" s="6"/>
      <c r="C6" s="7">
        <v>22968.34</v>
      </c>
      <c r="D6" s="7"/>
      <c r="E6" s="7">
        <v>14308.34</v>
      </c>
      <c r="F6" s="7"/>
      <c r="G6" s="8">
        <v>11283</v>
      </c>
      <c r="H6" s="8"/>
    </row>
    <row r="7" spans="1:8" x14ac:dyDescent="0.25">
      <c r="A7" s="6"/>
      <c r="B7" s="6"/>
      <c r="C7" s="7"/>
      <c r="D7" s="7"/>
      <c r="E7" s="7"/>
      <c r="F7" s="7"/>
      <c r="G7" s="8"/>
      <c r="H7" s="8"/>
    </row>
    <row r="8" spans="1:8" x14ac:dyDescent="0.25">
      <c r="A8" s="9" t="s">
        <v>6</v>
      </c>
      <c r="B8" s="9"/>
      <c r="C8" s="9" t="s">
        <v>7</v>
      </c>
      <c r="D8" s="9"/>
      <c r="E8" s="9" t="s">
        <v>8</v>
      </c>
      <c r="F8" s="9"/>
      <c r="G8" s="9" t="s">
        <v>9</v>
      </c>
      <c r="H8" s="9"/>
    </row>
    <row r="10" ht="24" customHeight="1" spans="1:8" x14ac:dyDescent="0.25">
      <c r="A10" s="10" t="s">
        <v>10</v>
      </c>
      <c r="B10" s="10"/>
      <c r="C10" s="10"/>
      <c r="D10" s="10"/>
      <c r="E10" s="10"/>
      <c r="F10" s="10"/>
      <c r="G10" s="10"/>
      <c r="H10" s="10"/>
    </row>
    <row r="11" ht="22" customHeight="1" spans="2:6" x14ac:dyDescent="0.25">
      <c r="B11" s="11" t="s">
        <v>11</v>
      </c>
      <c r="C11" s="12">
        <v>37570</v>
      </c>
      <c r="E11" s="11" t="s">
        <v>12</v>
      </c>
      <c r="F11" s="12">
        <v>22968.34</v>
      </c>
    </row>
    <row r="12" ht="22" customHeight="1" spans="2:6" x14ac:dyDescent="0.25">
      <c r="B12" s="13" t="s">
        <v>13</v>
      </c>
      <c r="C12" s="14">
        <v>34050</v>
      </c>
      <c r="E12" s="13" t="s">
        <v>14</v>
      </c>
      <c r="F12" s="14">
        <v>5140</v>
      </c>
    </row>
    <row r="13" ht="22" customHeight="1" spans="2:6" x14ac:dyDescent="0.25">
      <c r="B13" s="11" t="s">
        <v>15</v>
      </c>
      <c r="C13" s="12">
        <v>3520</v>
      </c>
      <c r="E13" s="11" t="s">
        <v>16</v>
      </c>
      <c r="F13" s="12">
        <v>14308.34</v>
      </c>
    </row>
    <row r="14" ht="22" customHeight="1" spans="2:3" x14ac:dyDescent="0.25">
      <c r="B14" s="13" t="s">
        <v>17</v>
      </c>
      <c r="C14" s="14">
        <v>14601.66</v>
      </c>
    </row>
    <row r="17" ht="24" customHeight="1" spans="1:8" x14ac:dyDescent="0.25">
      <c r="A17" s="10" t="s">
        <v>18</v>
      </c>
      <c r="B17" s="10"/>
      <c r="C17" s="10"/>
      <c r="D17" s="10"/>
      <c r="E17" s="10"/>
      <c r="F17" s="10"/>
      <c r="G17" s="10"/>
      <c r="H17" s="10"/>
    </row>
    <row r="18" ht="22" customHeight="1" spans="2:6" x14ac:dyDescent="0.25">
      <c r="B18" s="13" t="s">
        <v>19</v>
      </c>
      <c r="C18" s="15">
        <v>64</v>
      </c>
      <c r="E18" s="13" t="s">
        <v>20</v>
      </c>
      <c r="F18" s="15">
        <v>11283</v>
      </c>
    </row>
    <row r="19" ht="22" customHeight="1" spans="2:6" x14ac:dyDescent="0.25">
      <c r="B19" s="11" t="s">
        <v>21</v>
      </c>
      <c r="C19" s="16">
        <v>9253</v>
      </c>
      <c r="E19" s="11" t="s">
        <v>22</v>
      </c>
      <c r="F19" s="17">
        <v>1.29</v>
      </c>
    </row>
    <row r="20" ht="22" customHeight="1" spans="2:6" x14ac:dyDescent="0.25">
      <c r="B20" s="13" t="s">
        <v>23</v>
      </c>
      <c r="C20" s="15">
        <v>2030</v>
      </c>
      <c r="E20" s="13" t="s">
        <v>24</v>
      </c>
      <c r="F20" s="15">
        <v>1237.4</v>
      </c>
    </row>
    <row r="23" ht="24" customHeight="1" spans="1:8" x14ac:dyDescent="0.25">
      <c r="A23" s="10" t="s">
        <v>25</v>
      </c>
      <c r="B23" s="10"/>
      <c r="C23" s="10"/>
      <c r="D23" s="10"/>
      <c r="E23" s="10"/>
      <c r="F23" s="10"/>
      <c r="G23" s="10"/>
      <c r="H23" s="10"/>
    </row>
    <row r="24" ht="22" customHeight="1" spans="2:8" x14ac:dyDescent="0.25">
      <c r="B24" s="18" t="s">
        <v>26</v>
      </c>
      <c r="C24" s="18"/>
      <c r="D24" s="18"/>
      <c r="E24" s="18" t="s">
        <v>27</v>
      </c>
      <c r="F24" s="18"/>
      <c r="G24" s="18" t="s">
        <v>28</v>
      </c>
      <c r="H24" s="18"/>
    </row>
    <row r="25" ht="22" customHeight="1" spans="2:8" x14ac:dyDescent="0.25">
      <c r="B25" s="19" t="s">
        <v>29</v>
      </c>
      <c r="C25" s="19"/>
      <c r="D25" s="19"/>
      <c r="E25" s="20">
        <v>4848.15</v>
      </c>
      <c r="F25" s="20"/>
      <c r="G25" s="21">
        <f>=E25/$E$39</f>
        <v>0.33202731744198943</v>
      </c>
      <c r="H25" s="21"/>
    </row>
    <row r="26" ht="22" customHeight="1" spans="2:8" x14ac:dyDescent="0.25">
      <c r="B26" s="22" t="s">
        <v>30</v>
      </c>
      <c r="C26" s="22"/>
      <c r="D26" s="22"/>
      <c r="E26" s="23">
        <v>2740</v>
      </c>
      <c r="F26" s="23"/>
      <c r="G26" s="24">
        <f>=E26/$E$39</f>
        <v>0.18764989734043938</v>
      </c>
      <c r="H26" s="24"/>
    </row>
    <row r="27" ht="22" customHeight="1" spans="2:8" x14ac:dyDescent="0.25">
      <c r="B27" s="19" t="s">
        <v>31</v>
      </c>
      <c r="C27" s="19"/>
      <c r="D27" s="19"/>
      <c r="E27" s="20">
        <v>1180.01</v>
      </c>
      <c r="F27" s="20"/>
      <c r="G27" s="21">
        <f>=E27/$E$39</f>
        <v>0.08081341436521601</v>
      </c>
      <c r="H27" s="21"/>
    </row>
    <row r="28" ht="22" customHeight="1" spans="2:8" x14ac:dyDescent="0.25">
      <c r="B28" s="22" t="s">
        <v>32</v>
      </c>
      <c r="C28" s="22"/>
      <c r="D28" s="22"/>
      <c r="E28" s="23">
        <v>1000</v>
      </c>
      <c r="F28" s="23"/>
      <c r="G28" s="24">
        <f>=E28/$E$39</f>
        <v>0.06848536399286109</v>
      </c>
      <c r="H28" s="24"/>
    </row>
    <row r="29" ht="22" customHeight="1" spans="2:8" x14ac:dyDescent="0.25">
      <c r="B29" s="19" t="s">
        <v>33</v>
      </c>
      <c r="C29" s="19"/>
      <c r="D29" s="19"/>
      <c r="E29" s="20">
        <v>900</v>
      </c>
      <c r="F29" s="20"/>
      <c r="G29" s="21">
        <f>=E29/$E$39</f>
        <v>0.06163682759357498</v>
      </c>
      <c r="H29" s="21"/>
    </row>
    <row r="30" ht="22" customHeight="1" spans="2:8" x14ac:dyDescent="0.25">
      <c r="B30" s="22" t="s">
        <v>34</v>
      </c>
      <c r="C30" s="22"/>
      <c r="D30" s="22"/>
      <c r="E30" s="23">
        <v>761.74</v>
      </c>
      <c r="F30" s="23"/>
      <c r="G30" s="24">
        <f>=E30/$E$39</f>
        <v>0.05216804116792201</v>
      </c>
      <c r="H30" s="24"/>
    </row>
    <row r="31" ht="22" customHeight="1" spans="2:8" x14ac:dyDescent="0.25">
      <c r="B31" s="19" t="s">
        <v>35</v>
      </c>
      <c r="C31" s="19"/>
      <c r="D31" s="19"/>
      <c r="E31" s="20">
        <v>682.52</v>
      </c>
      <c r="F31" s="20"/>
      <c r="G31" s="21">
        <f>=E31/$E$39</f>
        <v>0.04674263063240755</v>
      </c>
      <c r="H31" s="21"/>
    </row>
    <row r="32" ht="22" customHeight="1" spans="2:8" x14ac:dyDescent="0.25">
      <c r="B32" s="22" t="s">
        <v>36</v>
      </c>
      <c r="C32" s="22"/>
      <c r="D32" s="22"/>
      <c r="E32" s="23">
        <v>643.43</v>
      </c>
      <c r="F32" s="23"/>
      <c r="G32" s="24">
        <f>=E32/$E$39</f>
        <v>0.044065537753926604</v>
      </c>
      <c r="H32" s="24"/>
    </row>
    <row r="33" ht="22" customHeight="1" spans="2:8" x14ac:dyDescent="0.25">
      <c r="B33" s="19" t="s">
        <v>37</v>
      </c>
      <c r="C33" s="19"/>
      <c r="D33" s="19"/>
      <c r="E33" s="20">
        <v>615.76</v>
      </c>
      <c r="F33" s="20"/>
      <c r="G33" s="21">
        <f>=E33/$E$39</f>
        <v>0.04217054773224414</v>
      </c>
      <c r="H33" s="21"/>
    </row>
    <row r="34" ht="22" customHeight="1" spans="2:8" x14ac:dyDescent="0.25">
      <c r="B34" s="22" t="s">
        <v>38</v>
      </c>
      <c r="C34" s="22"/>
      <c r="D34" s="22"/>
      <c r="E34" s="23">
        <v>451.05</v>
      </c>
      <c r="F34" s="23"/>
      <c r="G34" s="24">
        <f>=E34/$E$39</f>
        <v>0.030890323428979995</v>
      </c>
      <c r="H34" s="24"/>
    </row>
    <row r="35" ht="22" customHeight="1" spans="2:8" x14ac:dyDescent="0.25">
      <c r="B35" s="19" t="s">
        <v>39</v>
      </c>
      <c r="C35" s="19"/>
      <c r="D35" s="19"/>
      <c r="E35" s="20">
        <v>380</v>
      </c>
      <c r="F35" s="20"/>
      <c r="G35" s="21">
        <f>=E35/$E$39</f>
        <v>0.026024438317287214</v>
      </c>
      <c r="H35" s="21"/>
    </row>
    <row r="36" ht="22" customHeight="1" spans="2:8" x14ac:dyDescent="0.25">
      <c r="B36" s="22" t="s">
        <v>40</v>
      </c>
      <c r="C36" s="22"/>
      <c r="D36" s="22"/>
      <c r="E36" s="23">
        <v>165</v>
      </c>
      <c r="F36" s="23"/>
      <c r="G36" s="24">
        <f>=E36/$E$39</f>
        <v>0.011300085058822079</v>
      </c>
      <c r="H36" s="24"/>
    </row>
    <row r="37" ht="22" customHeight="1" spans="2:8" x14ac:dyDescent="0.25">
      <c r="B37" s="19" t="s">
        <v>41</v>
      </c>
      <c r="C37" s="19"/>
      <c r="D37" s="19"/>
      <c r="E37" s="20">
        <v>156</v>
      </c>
      <c r="F37" s="20"/>
      <c r="G37" s="21">
        <f>=E37/$E$39</f>
        <v>0.01068371678288633</v>
      </c>
      <c r="H37" s="21"/>
    </row>
    <row r="38" ht="22" customHeight="1" spans="2:8" x14ac:dyDescent="0.25">
      <c r="B38" s="22" t="s">
        <v>42</v>
      </c>
      <c r="C38" s="22"/>
      <c r="D38" s="22"/>
      <c r="E38" s="23">
        <v>78</v>
      </c>
      <c r="F38" s="23"/>
      <c r="G38" s="24">
        <f>=E38/$E$39</f>
        <v>0.005341858391443165</v>
      </c>
      <c r="H38" s="24"/>
    </row>
    <row r="39" ht="22" customHeight="1" spans="2:8" x14ac:dyDescent="0.25">
      <c r="B39" s="25" t="s">
        <v>43</v>
      </c>
      <c r="C39" s="25"/>
      <c r="D39" s="25"/>
      <c r="E39" s="26">
        <f>=SUM(E25:E38)</f>
        <v>14601.66</v>
      </c>
      <c r="F39" s="26"/>
      <c r="G39" s="27">
        <f>=SUM(G25:G38)</f>
        <v>1</v>
      </c>
      <c r="H39" s="27"/>
    </row>
    <row r="42" ht="24" customHeight="1" spans="1:8" x14ac:dyDescent="0.25">
      <c r="A42" s="10" t="s">
        <v>44</v>
      </c>
      <c r="B42" s="10"/>
      <c r="C42" s="10"/>
      <c r="D42" s="10"/>
      <c r="E42" s="10"/>
      <c r="F42" s="10"/>
      <c r="G42" s="10"/>
      <c r="H42" s="10"/>
    </row>
    <row r="43" spans="2:8" x14ac:dyDescent="0.25">
      <c r="B43" s="28" t="s">
        <v>45</v>
      </c>
      <c r="C43" s="28"/>
      <c r="D43" s="28"/>
      <c r="E43" s="28"/>
      <c r="F43" s="28"/>
      <c r="G43" s="28"/>
      <c r="H43" s="28"/>
    </row>
    <row r="44" spans="2:8" x14ac:dyDescent="0.25">
      <c r="B44" s="28"/>
      <c r="C44" s="28"/>
      <c r="D44" s="28"/>
      <c r="E44" s="28"/>
      <c r="F44" s="28"/>
      <c r="G44" s="28"/>
      <c r="H44" s="28"/>
    </row>
    <row r="46" spans="2:2" x14ac:dyDescent="0.25">
      <c r="B46" s="29" t="s">
        <v>46</v>
      </c>
    </row>
    <row r="47" spans="2:7" x14ac:dyDescent="0.25">
      <c r="B47" s="30" t="s">
        <v>47</v>
      </c>
      <c r="C47" s="30"/>
      <c r="D47" s="30" t="s">
        <v>48</v>
      </c>
      <c r="E47" s="30"/>
      <c r="F47" s="30" t="s">
        <v>29</v>
      </c>
      <c r="G47" s="30"/>
    </row>
    <row r="48" spans="2:7" x14ac:dyDescent="0.25">
      <c r="B48" s="30" t="s">
        <v>49</v>
      </c>
      <c r="C48" s="30"/>
      <c r="D48" s="30" t="s">
        <v>50</v>
      </c>
      <c r="E48" s="30"/>
      <c r="F48" s="30" t="s">
        <v>31</v>
      </c>
      <c r="G48" s="30"/>
    </row>
  </sheetData>
  <mergeCells count="73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8:B8"/>
    <mergeCell ref="C8:D8"/>
    <mergeCell ref="E8:F8"/>
    <mergeCell ref="G8:H8"/>
    <mergeCell ref="A10:H10"/>
    <mergeCell ref="A17:H17"/>
    <mergeCell ref="A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A42:H42"/>
    <mergeCell ref="B43:H44"/>
    <mergeCell ref="B47:C47"/>
    <mergeCell ref="D47:E47"/>
    <mergeCell ref="F47:G47"/>
    <mergeCell ref="B48:C48"/>
    <mergeCell ref="D48:E48"/>
    <mergeCell ref="F48:G48"/>
  </mergeCells>
  <hyperlinks>
    <hyperlink ref="B47" r:id="rId1" location="#'Loads'!A1"/>
    <hyperlink ref="D47" r:id="rId2" location="#'Expenses'!A1"/>
    <hyperlink ref="F47" r:id="rId3" location="#'Fuel'!A1"/>
    <hyperlink ref="B48" r:id="rId4" location="#'Profit Loss'!A1"/>
    <hyperlink ref="D48" r:id="rId5" location="#'Mileage'!A1"/>
    <hyperlink ref="F48" r:id="rId6" location="#'Maintenance'!A1"/>
  </hyperlink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Footer>OnRoad Books  •  Confidential year-end report  |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AG7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3" width="13" customWidth="1"/>
    <col min="4" max="4" width="16" customWidth="1"/>
    <col min="5" max="5" width="14" customWidth="1"/>
    <col min="6" max="6" width="24" customWidth="1"/>
    <col min="7" max="8" width="18" customWidth="1"/>
    <col min="9" max="10" width="12" customWidth="1"/>
    <col min="11" max="12" width="13" customWidth="1"/>
    <col min="13" max="13" width="17" customWidth="1"/>
    <col min="14" max="14" width="14" customWidth="1"/>
    <col min="15" max="15" width="16" customWidth="1"/>
    <col min="16" max="16" width="13" customWidth="1"/>
    <col min="17" max="18" width="12" customWidth="1"/>
    <col min="19" max="20" width="16" customWidth="1"/>
    <col min="21" max="26" width="12" customWidth="1"/>
    <col min="27" max="30" width="16" customWidth="1"/>
    <col min="31" max="31" width="12" customWidth="1"/>
    <col min="32" max="32" width="16" customWidth="1"/>
    <col min="33" max="33" width="34" customWidth="1"/>
  </cols>
  <sheetData>
    <row r="1" ht="38" customHeight="1" spans="1:33" x14ac:dyDescent="0.25">
      <c r="A1" s="31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ht="22" customHeight="1" spans="1:33" x14ac:dyDescent="0.25">
      <c r="A2" s="32" t="s">
        <v>52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 ht="8" customHeight="1" x14ac:dyDescent="0.25"/>
    <row r="4" ht="26" customHeight="1" spans="1:12" x14ac:dyDescent="0.25">
      <c r="A4" s="5" t="s">
        <v>53</v>
      </c>
      <c r="B4" s="5"/>
      <c r="C4" s="5"/>
      <c r="D4" s="3" t="s">
        <v>54</v>
      </c>
      <c r="E4" s="3"/>
      <c r="F4" s="3"/>
      <c r="G4" s="5" t="s">
        <v>55</v>
      </c>
      <c r="H4" s="5"/>
      <c r="I4" s="5"/>
      <c r="J4" s="4" t="s">
        <v>56</v>
      </c>
      <c r="K4" s="4"/>
      <c r="L4" s="4"/>
    </row>
    <row r="5" ht="22" customHeight="1" spans="1:12" x14ac:dyDescent="0.25">
      <c r="A5" s="8">
        <v>64</v>
      </c>
      <c r="B5" s="8"/>
      <c r="C5" s="8"/>
      <c r="D5" s="6">
        <v>37570</v>
      </c>
      <c r="E5" s="6"/>
      <c r="F5" s="6"/>
      <c r="G5" s="8">
        <v>11283</v>
      </c>
      <c r="H5" s="8"/>
      <c r="I5" s="8"/>
      <c r="J5" s="7">
        <v>28971.939999999995</v>
      </c>
      <c r="K5" s="7"/>
      <c r="L5" s="7"/>
    </row>
    <row r="6" ht="22" customHeight="1" spans="1:12" x14ac:dyDescent="0.25">
      <c r="A6" s="8"/>
      <c r="B6" s="8"/>
      <c r="C6" s="8"/>
      <c r="D6" s="6"/>
      <c r="E6" s="6"/>
      <c r="F6" s="6"/>
      <c r="G6" s="8"/>
      <c r="H6" s="8"/>
      <c r="I6" s="8"/>
      <c r="J6" s="7"/>
      <c r="K6" s="7"/>
      <c r="L6" s="7"/>
    </row>
    <row r="7" ht="24" customHeight="1" spans="1:12" x14ac:dyDescent="0.25">
      <c r="A7" s="9" t="s">
        <v>57</v>
      </c>
      <c r="B7" s="9"/>
      <c r="C7" s="9"/>
      <c r="D7" s="9" t="s">
        <v>58</v>
      </c>
      <c r="E7" s="9"/>
      <c r="F7" s="9"/>
      <c r="G7" s="9" t="s">
        <v>59</v>
      </c>
      <c r="H7" s="9"/>
      <c r="I7" s="9"/>
      <c r="J7" s="9" t="s">
        <v>60</v>
      </c>
      <c r="K7" s="9"/>
      <c r="L7" s="9"/>
    </row>
    <row r="8" ht="10" customHeight="1" x14ac:dyDescent="0.25"/>
    <row r="9" ht="22" customHeight="1" spans="1:33" x14ac:dyDescent="0.25">
      <c r="A9" s="33" t="s">
        <v>61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4" t="s">
        <v>62</v>
      </c>
      <c r="O9" s="34"/>
      <c r="P9" s="34"/>
      <c r="Q9" s="34"/>
      <c r="R9" s="33" t="s">
        <v>63</v>
      </c>
      <c r="S9" s="33"/>
      <c r="T9" s="33"/>
      <c r="U9" s="34" t="s">
        <v>64</v>
      </c>
      <c r="V9" s="34"/>
      <c r="W9" s="34"/>
      <c r="X9" s="34"/>
      <c r="Y9" s="34"/>
      <c r="Z9" s="34"/>
      <c r="AA9" s="34"/>
      <c r="AB9" s="33" t="s">
        <v>65</v>
      </c>
      <c r="AC9" s="33"/>
      <c r="AD9" s="33"/>
      <c r="AE9" s="34" t="s">
        <v>66</v>
      </c>
      <c r="AF9" s="34"/>
      <c r="AG9" s="34"/>
    </row>
    <row r="10" ht="32" customHeight="1" spans="1:33" s="35" customFormat="1" x14ac:dyDescent="0.25">
      <c r="A10" s="35" t="s">
        <v>67</v>
      </c>
      <c r="B10" s="35" t="s">
        <v>68</v>
      </c>
      <c r="C10" s="35" t="s">
        <v>69</v>
      </c>
      <c r="D10" s="35" t="s">
        <v>70</v>
      </c>
      <c r="E10" s="35" t="s">
        <v>71</v>
      </c>
      <c r="F10" s="35" t="s">
        <v>72</v>
      </c>
      <c r="G10" s="35" t="s">
        <v>73</v>
      </c>
      <c r="H10" s="35" t="s">
        <v>74</v>
      </c>
      <c r="I10" s="35" t="s">
        <v>75</v>
      </c>
      <c r="J10" s="35" t="s">
        <v>76</v>
      </c>
      <c r="K10" s="35" t="s">
        <v>77</v>
      </c>
      <c r="L10" s="35" t="s">
        <v>78</v>
      </c>
      <c r="M10" s="35" t="s">
        <v>79</v>
      </c>
      <c r="N10" s="35" t="s">
        <v>80</v>
      </c>
      <c r="O10" s="35" t="s">
        <v>81</v>
      </c>
      <c r="P10" s="35" t="s">
        <v>82</v>
      </c>
      <c r="Q10" s="35" t="s">
        <v>83</v>
      </c>
      <c r="R10" s="35" t="s">
        <v>84</v>
      </c>
      <c r="S10" s="35" t="s">
        <v>85</v>
      </c>
      <c r="T10" s="35" t="s">
        <v>86</v>
      </c>
      <c r="U10" s="35" t="s">
        <v>29</v>
      </c>
      <c r="V10" s="35" t="s">
        <v>35</v>
      </c>
      <c r="W10" s="35" t="s">
        <v>34</v>
      </c>
      <c r="X10" s="35" t="s">
        <v>37</v>
      </c>
      <c r="Y10" s="35" t="s">
        <v>87</v>
      </c>
      <c r="Z10" s="35" t="s">
        <v>88</v>
      </c>
      <c r="AA10" s="35" t="s">
        <v>89</v>
      </c>
      <c r="AB10" s="35" t="s">
        <v>90</v>
      </c>
      <c r="AC10" s="35" t="s">
        <v>91</v>
      </c>
      <c r="AD10" s="35" t="s">
        <v>92</v>
      </c>
      <c r="AE10" s="35" t="s">
        <v>93</v>
      </c>
      <c r="AF10" s="35" t="s">
        <v>94</v>
      </c>
      <c r="AG10" s="35" t="s">
        <v>95</v>
      </c>
    </row>
    <row r="11" ht="21" customHeight="1" spans="1:33" x14ac:dyDescent="0.25">
      <c r="A11" s="19" t="s">
        <v>96</v>
      </c>
      <c r="B11" s="19" t="s">
        <v>97</v>
      </c>
      <c r="C11" s="19" t="s">
        <v>97</v>
      </c>
      <c r="D11" s="19"/>
      <c r="E11" s="19" t="s">
        <v>98</v>
      </c>
      <c r="F11" s="19" t="s">
        <v>99</v>
      </c>
      <c r="G11" s="19" t="s">
        <v>100</v>
      </c>
      <c r="H11" s="19" t="s">
        <v>101</v>
      </c>
      <c r="I11" s="19" t="s">
        <v>102</v>
      </c>
      <c r="J11" s="19" t="s">
        <v>103</v>
      </c>
      <c r="K11" s="36">
        <v>26</v>
      </c>
      <c r="L11" s="36">
        <v>8000</v>
      </c>
      <c r="M11" s="19" t="s">
        <v>104</v>
      </c>
      <c r="N11" s="36">
        <v>55</v>
      </c>
      <c r="O11" s="37">
        <v>8</v>
      </c>
      <c r="P11" s="36">
        <v>63</v>
      </c>
      <c r="Q11" s="37">
        <v>12.7</v>
      </c>
      <c r="R11" s="20">
        <v>300</v>
      </c>
      <c r="S11" s="36">
        <v>5.455</v>
      </c>
      <c r="T11" s="36">
        <v>4.762</v>
      </c>
      <c r="U11" s="38">
        <v>30</v>
      </c>
      <c r="V11" s="38">
        <v>0</v>
      </c>
      <c r="W11" s="38">
        <v>15</v>
      </c>
      <c r="X11" s="38">
        <v>7.5</v>
      </c>
      <c r="Y11" s="38">
        <v>0</v>
      </c>
      <c r="Z11" s="20">
        <v>0</v>
      </c>
      <c r="AA11" s="20">
        <v>52.5</v>
      </c>
      <c r="AB11" s="20">
        <v>247.5</v>
      </c>
      <c r="AC11" s="36">
        <v>3.929</v>
      </c>
      <c r="AD11" s="37">
        <v>82.5</v>
      </c>
      <c r="AE11" s="39" t="s">
        <v>105</v>
      </c>
      <c r="AF11" s="19" t="s">
        <v>106</v>
      </c>
      <c r="AG11" s="40" t="s">
        <v>107</v>
      </c>
    </row>
    <row r="12" ht="21" customHeight="1" spans="1:33" x14ac:dyDescent="0.25">
      <c r="A12" s="22" t="s">
        <v>96</v>
      </c>
      <c r="B12" s="22" t="s">
        <v>108</v>
      </c>
      <c r="C12" s="22" t="s">
        <v>108</v>
      </c>
      <c r="D12" s="22"/>
      <c r="E12" s="22" t="s">
        <v>109</v>
      </c>
      <c r="F12" s="22" t="s">
        <v>110</v>
      </c>
      <c r="G12" s="22" t="s">
        <v>111</v>
      </c>
      <c r="H12" s="22" t="s">
        <v>100</v>
      </c>
      <c r="I12" s="22" t="s">
        <v>102</v>
      </c>
      <c r="J12" s="22" t="s">
        <v>103</v>
      </c>
      <c r="K12" s="41">
        <v>26</v>
      </c>
      <c r="L12" s="41">
        <v>8000</v>
      </c>
      <c r="M12" s="22" t="s">
        <v>104</v>
      </c>
      <c r="N12" s="41">
        <v>128</v>
      </c>
      <c r="O12" s="42">
        <v>85</v>
      </c>
      <c r="P12" s="41">
        <v>213</v>
      </c>
      <c r="Q12" s="42">
        <v>39.9</v>
      </c>
      <c r="R12" s="23">
        <v>500</v>
      </c>
      <c r="S12" s="41">
        <v>3.906</v>
      </c>
      <c r="T12" s="41">
        <v>2.347</v>
      </c>
      <c r="U12" s="43">
        <v>108</v>
      </c>
      <c r="V12" s="43">
        <v>14</v>
      </c>
      <c r="W12" s="43">
        <v>25</v>
      </c>
      <c r="X12" s="43">
        <v>12.5</v>
      </c>
      <c r="Y12" s="43">
        <v>0</v>
      </c>
      <c r="Z12" s="23">
        <v>0</v>
      </c>
      <c r="AA12" s="23">
        <v>159.5</v>
      </c>
      <c r="AB12" s="23">
        <v>340.5</v>
      </c>
      <c r="AC12" s="41">
        <v>1.599</v>
      </c>
      <c r="AD12" s="42">
        <v>68.1</v>
      </c>
      <c r="AE12" s="39" t="s">
        <v>112</v>
      </c>
      <c r="AF12" s="22" t="s">
        <v>106</v>
      </c>
      <c r="AG12" s="44"/>
    </row>
    <row r="13" ht="21" customHeight="1" spans="1:33" x14ac:dyDescent="0.25">
      <c r="A13" s="19" t="s">
        <v>96</v>
      </c>
      <c r="B13" s="19" t="s">
        <v>113</v>
      </c>
      <c r="C13" s="19" t="s">
        <v>113</v>
      </c>
      <c r="D13" s="19"/>
      <c r="E13" s="19" t="s">
        <v>114</v>
      </c>
      <c r="F13" s="19" t="s">
        <v>115</v>
      </c>
      <c r="G13" s="19" t="s">
        <v>116</v>
      </c>
      <c r="H13" s="19" t="s">
        <v>111</v>
      </c>
      <c r="I13" s="19" t="s">
        <v>102</v>
      </c>
      <c r="J13" s="19" t="s">
        <v>103</v>
      </c>
      <c r="K13" s="36">
        <v>26</v>
      </c>
      <c r="L13" s="36">
        <v>8000</v>
      </c>
      <c r="M13" s="19" t="s">
        <v>104</v>
      </c>
      <c r="N13" s="36">
        <v>245</v>
      </c>
      <c r="O13" s="37">
        <v>48</v>
      </c>
      <c r="P13" s="36">
        <v>293</v>
      </c>
      <c r="Q13" s="37">
        <v>16.4</v>
      </c>
      <c r="R13" s="20">
        <v>935</v>
      </c>
      <c r="S13" s="36">
        <v>3.816</v>
      </c>
      <c r="T13" s="36">
        <v>3.191</v>
      </c>
      <c r="U13" s="38">
        <v>134</v>
      </c>
      <c r="V13" s="38">
        <v>26</v>
      </c>
      <c r="W13" s="38">
        <v>46.75</v>
      </c>
      <c r="X13" s="38">
        <v>23.38</v>
      </c>
      <c r="Y13" s="38">
        <v>0</v>
      </c>
      <c r="Z13" s="20">
        <v>0</v>
      </c>
      <c r="AA13" s="20">
        <v>230.13</v>
      </c>
      <c r="AB13" s="20">
        <v>704.87</v>
      </c>
      <c r="AC13" s="36">
        <v>2.406</v>
      </c>
      <c r="AD13" s="37">
        <v>75.4</v>
      </c>
      <c r="AE13" s="39" t="s">
        <v>105</v>
      </c>
      <c r="AF13" s="19" t="s">
        <v>117</v>
      </c>
      <c r="AG13" s="40" t="s">
        <v>118</v>
      </c>
    </row>
    <row r="14" ht="21" customHeight="1" spans="1:33" x14ac:dyDescent="0.25">
      <c r="A14" s="22" t="s">
        <v>96</v>
      </c>
      <c r="B14" s="22" t="s">
        <v>119</v>
      </c>
      <c r="C14" s="22" t="s">
        <v>119</v>
      </c>
      <c r="D14" s="22"/>
      <c r="E14" s="22" t="s">
        <v>120</v>
      </c>
      <c r="F14" s="22" t="s">
        <v>121</v>
      </c>
      <c r="G14" s="22" t="s">
        <v>122</v>
      </c>
      <c r="H14" s="22" t="s">
        <v>116</v>
      </c>
      <c r="I14" s="22" t="s">
        <v>102</v>
      </c>
      <c r="J14" s="22" t="s">
        <v>103</v>
      </c>
      <c r="K14" s="41">
        <v>26</v>
      </c>
      <c r="L14" s="41">
        <v>8000</v>
      </c>
      <c r="M14" s="22" t="s">
        <v>104</v>
      </c>
      <c r="N14" s="41">
        <v>92</v>
      </c>
      <c r="O14" s="42">
        <v>70</v>
      </c>
      <c r="P14" s="41">
        <v>162</v>
      </c>
      <c r="Q14" s="42">
        <v>43.2</v>
      </c>
      <c r="R14" s="23">
        <v>335</v>
      </c>
      <c r="S14" s="41">
        <v>3.641</v>
      </c>
      <c r="T14" s="41">
        <v>2.068</v>
      </c>
      <c r="U14" s="43">
        <v>82</v>
      </c>
      <c r="V14" s="43">
        <v>0</v>
      </c>
      <c r="W14" s="43">
        <v>16.75</v>
      </c>
      <c r="X14" s="43">
        <v>8.38</v>
      </c>
      <c r="Y14" s="43">
        <v>0</v>
      </c>
      <c r="Z14" s="23">
        <v>0</v>
      </c>
      <c r="AA14" s="23">
        <v>107.13</v>
      </c>
      <c r="AB14" s="23">
        <v>227.87</v>
      </c>
      <c r="AC14" s="41">
        <v>1.407</v>
      </c>
      <c r="AD14" s="42">
        <v>68</v>
      </c>
      <c r="AE14" s="45" t="s">
        <v>123</v>
      </c>
      <c r="AF14" s="22" t="s">
        <v>117</v>
      </c>
      <c r="AG14" s="44"/>
    </row>
    <row r="15" ht="21" customHeight="1" spans="1:33" x14ac:dyDescent="0.25">
      <c r="A15" s="19" t="s">
        <v>96</v>
      </c>
      <c r="B15" s="19" t="s">
        <v>124</v>
      </c>
      <c r="C15" s="19" t="s">
        <v>124</v>
      </c>
      <c r="D15" s="19"/>
      <c r="E15" s="19" t="s">
        <v>125</v>
      </c>
      <c r="F15" s="19" t="s">
        <v>126</v>
      </c>
      <c r="G15" s="19" t="s">
        <v>127</v>
      </c>
      <c r="H15" s="19" t="s">
        <v>122</v>
      </c>
      <c r="I15" s="19" t="s">
        <v>102</v>
      </c>
      <c r="J15" s="19" t="s">
        <v>103</v>
      </c>
      <c r="K15" s="36">
        <v>26</v>
      </c>
      <c r="L15" s="36">
        <v>8000</v>
      </c>
      <c r="M15" s="19" t="s">
        <v>104</v>
      </c>
      <c r="N15" s="36">
        <v>78</v>
      </c>
      <c r="O15" s="37">
        <v>62</v>
      </c>
      <c r="P15" s="36">
        <v>140</v>
      </c>
      <c r="Q15" s="37">
        <v>44.3</v>
      </c>
      <c r="R15" s="20">
        <v>300</v>
      </c>
      <c r="S15" s="36">
        <v>3.846</v>
      </c>
      <c r="T15" s="36">
        <v>2.143</v>
      </c>
      <c r="U15" s="38">
        <v>68</v>
      </c>
      <c r="V15" s="38">
        <v>6</v>
      </c>
      <c r="W15" s="38">
        <v>15</v>
      </c>
      <c r="X15" s="38">
        <v>7.5</v>
      </c>
      <c r="Y15" s="38">
        <v>0</v>
      </c>
      <c r="Z15" s="20">
        <v>0</v>
      </c>
      <c r="AA15" s="20">
        <v>96.5</v>
      </c>
      <c r="AB15" s="20">
        <v>203.5</v>
      </c>
      <c r="AC15" s="36">
        <v>1.454</v>
      </c>
      <c r="AD15" s="37">
        <v>67.8</v>
      </c>
      <c r="AE15" s="45" t="s">
        <v>123</v>
      </c>
      <c r="AF15" s="19" t="s">
        <v>128</v>
      </c>
      <c r="AG15" s="40"/>
    </row>
    <row r="16" ht="21" customHeight="1" spans="1:33" x14ac:dyDescent="0.25">
      <c r="A16" s="22" t="s">
        <v>96</v>
      </c>
      <c r="B16" s="22" t="s">
        <v>129</v>
      </c>
      <c r="C16" s="22" t="s">
        <v>129</v>
      </c>
      <c r="D16" s="22"/>
      <c r="E16" s="22" t="s">
        <v>130</v>
      </c>
      <c r="F16" s="22" t="s">
        <v>131</v>
      </c>
      <c r="G16" s="22" t="s">
        <v>132</v>
      </c>
      <c r="H16" s="22" t="s">
        <v>127</v>
      </c>
      <c r="I16" s="22" t="s">
        <v>102</v>
      </c>
      <c r="J16" s="22" t="s">
        <v>103</v>
      </c>
      <c r="K16" s="41">
        <v>26</v>
      </c>
      <c r="L16" s="41">
        <v>8000</v>
      </c>
      <c r="M16" s="22" t="s">
        <v>104</v>
      </c>
      <c r="N16" s="41">
        <v>190</v>
      </c>
      <c r="O16" s="42">
        <v>45</v>
      </c>
      <c r="P16" s="41">
        <v>235</v>
      </c>
      <c r="Q16" s="42">
        <v>19.1</v>
      </c>
      <c r="R16" s="23">
        <v>760</v>
      </c>
      <c r="S16" s="41">
        <v>4</v>
      </c>
      <c r="T16" s="41">
        <v>3.234</v>
      </c>
      <c r="U16" s="43">
        <v>106</v>
      </c>
      <c r="V16" s="43">
        <v>41</v>
      </c>
      <c r="W16" s="43">
        <v>38</v>
      </c>
      <c r="X16" s="43">
        <v>19</v>
      </c>
      <c r="Y16" s="43">
        <v>0</v>
      </c>
      <c r="Z16" s="23">
        <v>0</v>
      </c>
      <c r="AA16" s="23">
        <v>204</v>
      </c>
      <c r="AB16" s="23">
        <v>556</v>
      </c>
      <c r="AC16" s="41">
        <v>2.366</v>
      </c>
      <c r="AD16" s="42">
        <v>73.2</v>
      </c>
      <c r="AE16" s="39" t="s">
        <v>105</v>
      </c>
      <c r="AF16" s="22" t="s">
        <v>117</v>
      </c>
      <c r="AG16" s="44"/>
    </row>
    <row r="17" ht="21" customHeight="1" spans="1:33" x14ac:dyDescent="0.25">
      <c r="A17" s="19" t="s">
        <v>96</v>
      </c>
      <c r="B17" s="19" t="s">
        <v>133</v>
      </c>
      <c r="C17" s="19" t="s">
        <v>133</v>
      </c>
      <c r="D17" s="19"/>
      <c r="E17" s="19" t="s">
        <v>134</v>
      </c>
      <c r="F17" s="19" t="s">
        <v>135</v>
      </c>
      <c r="G17" s="19" t="s">
        <v>136</v>
      </c>
      <c r="H17" s="19" t="s">
        <v>132</v>
      </c>
      <c r="I17" s="19" t="s">
        <v>102</v>
      </c>
      <c r="J17" s="19" t="s">
        <v>103</v>
      </c>
      <c r="K17" s="36">
        <v>26</v>
      </c>
      <c r="L17" s="36">
        <v>8000</v>
      </c>
      <c r="M17" s="19" t="s">
        <v>104</v>
      </c>
      <c r="N17" s="36">
        <v>90</v>
      </c>
      <c r="O17" s="37">
        <v>85</v>
      </c>
      <c r="P17" s="36">
        <v>175</v>
      </c>
      <c r="Q17" s="37">
        <v>48.6</v>
      </c>
      <c r="R17" s="20">
        <v>285</v>
      </c>
      <c r="S17" s="36">
        <v>3.167</v>
      </c>
      <c r="T17" s="36">
        <v>1.629</v>
      </c>
      <c r="U17" s="38">
        <v>78</v>
      </c>
      <c r="V17" s="38">
        <v>34</v>
      </c>
      <c r="W17" s="38">
        <v>14.25</v>
      </c>
      <c r="X17" s="38">
        <v>7.12</v>
      </c>
      <c r="Y17" s="38">
        <v>0</v>
      </c>
      <c r="Z17" s="20">
        <v>0</v>
      </c>
      <c r="AA17" s="20">
        <v>133.37</v>
      </c>
      <c r="AB17" s="20">
        <v>151.63</v>
      </c>
      <c r="AC17" s="36">
        <v>0.866</v>
      </c>
      <c r="AD17" s="37">
        <v>53.2</v>
      </c>
      <c r="AE17" s="46" t="s">
        <v>137</v>
      </c>
      <c r="AF17" s="19" t="s">
        <v>128</v>
      </c>
      <c r="AG17" s="40"/>
    </row>
    <row r="18" ht="21" customHeight="1" spans="1:33" x14ac:dyDescent="0.25">
      <c r="A18" s="22" t="s">
        <v>96</v>
      </c>
      <c r="B18" s="22" t="s">
        <v>138</v>
      </c>
      <c r="C18" s="22" t="s">
        <v>138</v>
      </c>
      <c r="D18" s="22"/>
      <c r="E18" s="22" t="s">
        <v>139</v>
      </c>
      <c r="F18" s="22" t="s">
        <v>99</v>
      </c>
      <c r="G18" s="22" t="s">
        <v>140</v>
      </c>
      <c r="H18" s="22" t="s">
        <v>136</v>
      </c>
      <c r="I18" s="22" t="s">
        <v>102</v>
      </c>
      <c r="J18" s="22" t="s">
        <v>103</v>
      </c>
      <c r="K18" s="41">
        <v>26</v>
      </c>
      <c r="L18" s="41">
        <v>8000</v>
      </c>
      <c r="M18" s="22" t="s">
        <v>104</v>
      </c>
      <c r="N18" s="41">
        <v>148</v>
      </c>
      <c r="O18" s="42">
        <v>32</v>
      </c>
      <c r="P18" s="41">
        <v>180</v>
      </c>
      <c r="Q18" s="42">
        <v>17.8</v>
      </c>
      <c r="R18" s="23">
        <v>615</v>
      </c>
      <c r="S18" s="41">
        <v>4.155</v>
      </c>
      <c r="T18" s="41">
        <v>3.417</v>
      </c>
      <c r="U18" s="43">
        <v>82</v>
      </c>
      <c r="V18" s="43">
        <v>22</v>
      </c>
      <c r="W18" s="43">
        <v>30.75</v>
      </c>
      <c r="X18" s="43">
        <v>15.38</v>
      </c>
      <c r="Y18" s="43">
        <v>0</v>
      </c>
      <c r="Z18" s="23">
        <v>0</v>
      </c>
      <c r="AA18" s="23">
        <v>150.13</v>
      </c>
      <c r="AB18" s="23">
        <v>464.87</v>
      </c>
      <c r="AC18" s="41">
        <v>2.583</v>
      </c>
      <c r="AD18" s="42">
        <v>75.6</v>
      </c>
      <c r="AE18" s="39" t="s">
        <v>105</v>
      </c>
      <c r="AF18" s="22" t="s">
        <v>128</v>
      </c>
      <c r="AG18" s="44"/>
    </row>
    <row r="19" ht="21" customHeight="1" spans="1:33" x14ac:dyDescent="0.25">
      <c r="A19" s="19" t="s">
        <v>96</v>
      </c>
      <c r="B19" s="19" t="s">
        <v>141</v>
      </c>
      <c r="C19" s="19" t="s">
        <v>141</v>
      </c>
      <c r="D19" s="19"/>
      <c r="E19" s="19" t="s">
        <v>142</v>
      </c>
      <c r="F19" s="19" t="s">
        <v>121</v>
      </c>
      <c r="G19" s="19" t="s">
        <v>143</v>
      </c>
      <c r="H19" s="19" t="s">
        <v>140</v>
      </c>
      <c r="I19" s="19" t="s">
        <v>102</v>
      </c>
      <c r="J19" s="19" t="s">
        <v>103</v>
      </c>
      <c r="K19" s="36">
        <v>26</v>
      </c>
      <c r="L19" s="36">
        <v>8000</v>
      </c>
      <c r="M19" s="19" t="s">
        <v>104</v>
      </c>
      <c r="N19" s="36">
        <v>48</v>
      </c>
      <c r="O19" s="37">
        <v>10</v>
      </c>
      <c r="P19" s="36">
        <v>58</v>
      </c>
      <c r="Q19" s="37">
        <v>17.2</v>
      </c>
      <c r="R19" s="20">
        <v>295</v>
      </c>
      <c r="S19" s="36">
        <v>6.146</v>
      </c>
      <c r="T19" s="36">
        <v>5.086</v>
      </c>
      <c r="U19" s="38">
        <v>28</v>
      </c>
      <c r="V19" s="38">
        <v>0</v>
      </c>
      <c r="W19" s="38">
        <v>14.75</v>
      </c>
      <c r="X19" s="38">
        <v>7.38</v>
      </c>
      <c r="Y19" s="38">
        <v>0</v>
      </c>
      <c r="Z19" s="20">
        <v>0</v>
      </c>
      <c r="AA19" s="20">
        <v>50.13</v>
      </c>
      <c r="AB19" s="20">
        <v>244.87</v>
      </c>
      <c r="AC19" s="36">
        <v>4.222</v>
      </c>
      <c r="AD19" s="37">
        <v>83</v>
      </c>
      <c r="AE19" s="39" t="s">
        <v>105</v>
      </c>
      <c r="AF19" s="19" t="s">
        <v>128</v>
      </c>
      <c r="AG19" s="40" t="s">
        <v>144</v>
      </c>
    </row>
    <row r="20" ht="21" customHeight="1" spans="1:33" x14ac:dyDescent="0.25">
      <c r="A20" s="22" t="s">
        <v>96</v>
      </c>
      <c r="B20" s="22" t="s">
        <v>145</v>
      </c>
      <c r="C20" s="22" t="s">
        <v>145</v>
      </c>
      <c r="D20" s="22"/>
      <c r="E20" s="22" t="s">
        <v>146</v>
      </c>
      <c r="F20" s="22" t="s">
        <v>110</v>
      </c>
      <c r="G20" s="22" t="s">
        <v>132</v>
      </c>
      <c r="H20" s="22" t="s">
        <v>143</v>
      </c>
      <c r="I20" s="22" t="s">
        <v>102</v>
      </c>
      <c r="J20" s="22" t="s">
        <v>103</v>
      </c>
      <c r="K20" s="41">
        <v>26</v>
      </c>
      <c r="L20" s="41">
        <v>8000</v>
      </c>
      <c r="M20" s="22" t="s">
        <v>104</v>
      </c>
      <c r="N20" s="41">
        <v>235</v>
      </c>
      <c r="O20" s="42">
        <v>120</v>
      </c>
      <c r="P20" s="41">
        <v>355</v>
      </c>
      <c r="Q20" s="42">
        <v>33.8</v>
      </c>
      <c r="R20" s="23">
        <v>880</v>
      </c>
      <c r="S20" s="41">
        <v>3.745</v>
      </c>
      <c r="T20" s="41">
        <v>2.479</v>
      </c>
      <c r="U20" s="43">
        <v>168</v>
      </c>
      <c r="V20" s="43">
        <v>44</v>
      </c>
      <c r="W20" s="43">
        <v>44</v>
      </c>
      <c r="X20" s="43">
        <v>22</v>
      </c>
      <c r="Y20" s="43">
        <v>0</v>
      </c>
      <c r="Z20" s="23">
        <v>0</v>
      </c>
      <c r="AA20" s="23">
        <v>278</v>
      </c>
      <c r="AB20" s="23">
        <v>602</v>
      </c>
      <c r="AC20" s="41">
        <v>1.696</v>
      </c>
      <c r="AD20" s="42">
        <v>68.4</v>
      </c>
      <c r="AE20" s="39" t="s">
        <v>112</v>
      </c>
      <c r="AF20" s="22" t="s">
        <v>128</v>
      </c>
      <c r="AG20" s="44" t="s">
        <v>147</v>
      </c>
    </row>
    <row r="21" ht="21" customHeight="1" spans="1:33" x14ac:dyDescent="0.25">
      <c r="A21" s="19" t="s">
        <v>96</v>
      </c>
      <c r="B21" s="19" t="s">
        <v>148</v>
      </c>
      <c r="C21" s="19" t="s">
        <v>148</v>
      </c>
      <c r="D21" s="19"/>
      <c r="E21" s="19" t="s">
        <v>149</v>
      </c>
      <c r="F21" s="19" t="s">
        <v>115</v>
      </c>
      <c r="G21" s="19" t="s">
        <v>111</v>
      </c>
      <c r="H21" s="19" t="s">
        <v>132</v>
      </c>
      <c r="I21" s="19" t="s">
        <v>102</v>
      </c>
      <c r="J21" s="19" t="s">
        <v>103</v>
      </c>
      <c r="K21" s="36">
        <v>26</v>
      </c>
      <c r="L21" s="36">
        <v>8000</v>
      </c>
      <c r="M21" s="19" t="s">
        <v>104</v>
      </c>
      <c r="N21" s="36">
        <v>165</v>
      </c>
      <c r="O21" s="37">
        <v>18</v>
      </c>
      <c r="P21" s="36">
        <v>183</v>
      </c>
      <c r="Q21" s="37">
        <v>9.8</v>
      </c>
      <c r="R21" s="20">
        <v>690</v>
      </c>
      <c r="S21" s="36">
        <v>4.182</v>
      </c>
      <c r="T21" s="36">
        <v>3.77</v>
      </c>
      <c r="U21" s="38">
        <v>92</v>
      </c>
      <c r="V21" s="38">
        <v>38</v>
      </c>
      <c r="W21" s="38">
        <v>34.5</v>
      </c>
      <c r="X21" s="38">
        <v>17.25</v>
      </c>
      <c r="Y21" s="38">
        <v>0</v>
      </c>
      <c r="Z21" s="20">
        <v>0</v>
      </c>
      <c r="AA21" s="20">
        <v>181.75</v>
      </c>
      <c r="AB21" s="20">
        <v>508.25</v>
      </c>
      <c r="AC21" s="36">
        <v>2.777</v>
      </c>
      <c r="AD21" s="37">
        <v>73.7</v>
      </c>
      <c r="AE21" s="39" t="s">
        <v>105</v>
      </c>
      <c r="AF21" s="19" t="s">
        <v>117</v>
      </c>
      <c r="AG21" s="40" t="s">
        <v>150</v>
      </c>
    </row>
    <row r="22" ht="21" customHeight="1" spans="1:33" x14ac:dyDescent="0.25">
      <c r="A22" s="22" t="s">
        <v>96</v>
      </c>
      <c r="B22" s="22" t="s">
        <v>151</v>
      </c>
      <c r="C22" s="22" t="s">
        <v>151</v>
      </c>
      <c r="D22" s="22"/>
      <c r="E22" s="22" t="s">
        <v>152</v>
      </c>
      <c r="F22" s="22" t="s">
        <v>99</v>
      </c>
      <c r="G22" s="22" t="s">
        <v>127</v>
      </c>
      <c r="H22" s="22" t="s">
        <v>111</v>
      </c>
      <c r="I22" s="22" t="s">
        <v>102</v>
      </c>
      <c r="J22" s="22" t="s">
        <v>103</v>
      </c>
      <c r="K22" s="41">
        <v>26</v>
      </c>
      <c r="L22" s="41">
        <v>8000</v>
      </c>
      <c r="M22" s="22" t="s">
        <v>104</v>
      </c>
      <c r="N22" s="41">
        <v>82</v>
      </c>
      <c r="O22" s="42">
        <v>96</v>
      </c>
      <c r="P22" s="41">
        <v>178</v>
      </c>
      <c r="Q22" s="42">
        <v>53.9</v>
      </c>
      <c r="R22" s="23">
        <v>275</v>
      </c>
      <c r="S22" s="41">
        <v>3.354</v>
      </c>
      <c r="T22" s="41">
        <v>1.545</v>
      </c>
      <c r="U22" s="43">
        <v>92</v>
      </c>
      <c r="V22" s="43">
        <v>6</v>
      </c>
      <c r="W22" s="43">
        <v>13.75</v>
      </c>
      <c r="X22" s="43">
        <v>6.88</v>
      </c>
      <c r="Y22" s="43">
        <v>0</v>
      </c>
      <c r="Z22" s="23">
        <v>0</v>
      </c>
      <c r="AA22" s="23">
        <v>118.63</v>
      </c>
      <c r="AB22" s="23">
        <v>156.37</v>
      </c>
      <c r="AC22" s="41">
        <v>0.878</v>
      </c>
      <c r="AD22" s="42">
        <v>56.9</v>
      </c>
      <c r="AE22" s="46" t="s">
        <v>137</v>
      </c>
      <c r="AF22" s="22" t="s">
        <v>128</v>
      </c>
      <c r="AG22" s="44"/>
    </row>
    <row r="23" ht="21" customHeight="1" spans="1:33" x14ac:dyDescent="0.25">
      <c r="A23" s="19" t="s">
        <v>96</v>
      </c>
      <c r="B23" s="19" t="s">
        <v>153</v>
      </c>
      <c r="C23" s="19" t="s">
        <v>153</v>
      </c>
      <c r="D23" s="19"/>
      <c r="E23" s="19" t="s">
        <v>154</v>
      </c>
      <c r="F23" s="19" t="s">
        <v>131</v>
      </c>
      <c r="G23" s="19" t="s">
        <v>116</v>
      </c>
      <c r="H23" s="19" t="s">
        <v>127</v>
      </c>
      <c r="I23" s="19" t="s">
        <v>102</v>
      </c>
      <c r="J23" s="19" t="s">
        <v>103</v>
      </c>
      <c r="K23" s="36">
        <v>26</v>
      </c>
      <c r="L23" s="36">
        <v>8000</v>
      </c>
      <c r="M23" s="19" t="s">
        <v>104</v>
      </c>
      <c r="N23" s="36">
        <v>155</v>
      </c>
      <c r="O23" s="37">
        <v>24</v>
      </c>
      <c r="P23" s="36">
        <v>179</v>
      </c>
      <c r="Q23" s="37">
        <v>13.4</v>
      </c>
      <c r="R23" s="20">
        <v>620</v>
      </c>
      <c r="S23" s="36">
        <v>4</v>
      </c>
      <c r="T23" s="36">
        <v>3.464</v>
      </c>
      <c r="U23" s="38">
        <v>84</v>
      </c>
      <c r="V23" s="38">
        <v>12</v>
      </c>
      <c r="W23" s="38">
        <v>31</v>
      </c>
      <c r="X23" s="38">
        <v>15.5</v>
      </c>
      <c r="Y23" s="38">
        <v>0</v>
      </c>
      <c r="Z23" s="20">
        <v>0</v>
      </c>
      <c r="AA23" s="20">
        <v>142.5</v>
      </c>
      <c r="AB23" s="20">
        <v>477.5</v>
      </c>
      <c r="AC23" s="36">
        <v>2.668</v>
      </c>
      <c r="AD23" s="37">
        <v>77</v>
      </c>
      <c r="AE23" s="39" t="s">
        <v>105</v>
      </c>
      <c r="AF23" s="19" t="s">
        <v>128</v>
      </c>
      <c r="AG23" s="40"/>
    </row>
    <row r="24" ht="21" customHeight="1" spans="1:33" x14ac:dyDescent="0.25">
      <c r="A24" s="22" t="s">
        <v>96</v>
      </c>
      <c r="B24" s="22" t="s">
        <v>155</v>
      </c>
      <c r="C24" s="22" t="s">
        <v>155</v>
      </c>
      <c r="D24" s="22"/>
      <c r="E24" s="22" t="s">
        <v>156</v>
      </c>
      <c r="F24" s="22" t="s">
        <v>126</v>
      </c>
      <c r="G24" s="22" t="s">
        <v>101</v>
      </c>
      <c r="H24" s="22" t="s">
        <v>116</v>
      </c>
      <c r="I24" s="22" t="s">
        <v>102</v>
      </c>
      <c r="J24" s="22" t="s">
        <v>103</v>
      </c>
      <c r="K24" s="41">
        <v>26</v>
      </c>
      <c r="L24" s="41">
        <v>8000</v>
      </c>
      <c r="M24" s="22" t="s">
        <v>104</v>
      </c>
      <c r="N24" s="41">
        <v>165</v>
      </c>
      <c r="O24" s="42">
        <v>20</v>
      </c>
      <c r="P24" s="41">
        <v>185</v>
      </c>
      <c r="Q24" s="42">
        <v>10.8</v>
      </c>
      <c r="R24" s="23">
        <v>640</v>
      </c>
      <c r="S24" s="41">
        <v>3.879</v>
      </c>
      <c r="T24" s="41">
        <v>3.459</v>
      </c>
      <c r="U24" s="43">
        <v>88</v>
      </c>
      <c r="V24" s="43">
        <v>0</v>
      </c>
      <c r="W24" s="43">
        <v>0</v>
      </c>
      <c r="X24" s="43">
        <v>16</v>
      </c>
      <c r="Y24" s="43">
        <v>0</v>
      </c>
      <c r="Z24" s="23">
        <v>0</v>
      </c>
      <c r="AA24" s="23">
        <v>104</v>
      </c>
      <c r="AB24" s="23">
        <v>536</v>
      </c>
      <c r="AC24" s="41">
        <v>2.897</v>
      </c>
      <c r="AD24" s="42">
        <v>83.8</v>
      </c>
      <c r="AE24" s="39" t="s">
        <v>105</v>
      </c>
      <c r="AF24" s="22" t="s">
        <v>128</v>
      </c>
      <c r="AG24" s="44"/>
    </row>
    <row r="25" ht="21" customHeight="1" spans="1:33" x14ac:dyDescent="0.25">
      <c r="A25" s="19" t="s">
        <v>96</v>
      </c>
      <c r="B25" s="19" t="s">
        <v>157</v>
      </c>
      <c r="C25" s="19" t="s">
        <v>157</v>
      </c>
      <c r="D25" s="19"/>
      <c r="E25" s="19" t="s">
        <v>158</v>
      </c>
      <c r="F25" s="19" t="s">
        <v>121</v>
      </c>
      <c r="G25" s="19" t="s">
        <v>127</v>
      </c>
      <c r="H25" s="19" t="s">
        <v>101</v>
      </c>
      <c r="I25" s="19" t="s">
        <v>102</v>
      </c>
      <c r="J25" s="19" t="s">
        <v>103</v>
      </c>
      <c r="K25" s="36">
        <v>26</v>
      </c>
      <c r="L25" s="36">
        <v>8000</v>
      </c>
      <c r="M25" s="19" t="s">
        <v>104</v>
      </c>
      <c r="N25" s="36">
        <v>118</v>
      </c>
      <c r="O25" s="37">
        <v>78</v>
      </c>
      <c r="P25" s="36">
        <v>196</v>
      </c>
      <c r="Q25" s="37">
        <v>39.8</v>
      </c>
      <c r="R25" s="20">
        <v>430</v>
      </c>
      <c r="S25" s="36">
        <v>3.644</v>
      </c>
      <c r="T25" s="36">
        <v>2.194</v>
      </c>
      <c r="U25" s="38">
        <v>92</v>
      </c>
      <c r="V25" s="38">
        <v>8</v>
      </c>
      <c r="W25" s="38">
        <v>0</v>
      </c>
      <c r="X25" s="38">
        <v>10.75</v>
      </c>
      <c r="Y25" s="38">
        <v>0</v>
      </c>
      <c r="Z25" s="20">
        <v>0</v>
      </c>
      <c r="AA25" s="20">
        <v>110.75</v>
      </c>
      <c r="AB25" s="20">
        <v>319.25</v>
      </c>
      <c r="AC25" s="36">
        <v>1.629</v>
      </c>
      <c r="AD25" s="37">
        <v>74.2</v>
      </c>
      <c r="AE25" s="39" t="s">
        <v>112</v>
      </c>
      <c r="AF25" s="19" t="s">
        <v>128</v>
      </c>
      <c r="AG25" s="40"/>
    </row>
    <row r="26" ht="21" customHeight="1" spans="1:33" x14ac:dyDescent="0.25">
      <c r="A26" s="22" t="s">
        <v>96</v>
      </c>
      <c r="B26" s="22" t="s">
        <v>159</v>
      </c>
      <c r="C26" s="22" t="s">
        <v>159</v>
      </c>
      <c r="D26" s="22"/>
      <c r="E26" s="22" t="s">
        <v>160</v>
      </c>
      <c r="F26" s="22" t="s">
        <v>131</v>
      </c>
      <c r="G26" s="22" t="s">
        <v>132</v>
      </c>
      <c r="H26" s="22" t="s">
        <v>127</v>
      </c>
      <c r="I26" s="22" t="s">
        <v>102</v>
      </c>
      <c r="J26" s="22" t="s">
        <v>103</v>
      </c>
      <c r="K26" s="41">
        <v>26</v>
      </c>
      <c r="L26" s="41">
        <v>8000</v>
      </c>
      <c r="M26" s="22" t="s">
        <v>104</v>
      </c>
      <c r="N26" s="41">
        <v>190</v>
      </c>
      <c r="O26" s="42">
        <v>48</v>
      </c>
      <c r="P26" s="41">
        <v>238</v>
      </c>
      <c r="Q26" s="42">
        <v>20.2</v>
      </c>
      <c r="R26" s="23">
        <v>745</v>
      </c>
      <c r="S26" s="41">
        <v>3.921</v>
      </c>
      <c r="T26" s="41">
        <v>3.13</v>
      </c>
      <c r="U26" s="43">
        <v>108</v>
      </c>
      <c r="V26" s="43">
        <v>41</v>
      </c>
      <c r="W26" s="43">
        <v>0</v>
      </c>
      <c r="X26" s="43">
        <v>18.62</v>
      </c>
      <c r="Y26" s="43">
        <v>15</v>
      </c>
      <c r="Z26" s="23">
        <v>0</v>
      </c>
      <c r="AA26" s="23">
        <v>182.62</v>
      </c>
      <c r="AB26" s="23">
        <v>562.38</v>
      </c>
      <c r="AC26" s="41">
        <v>2.363</v>
      </c>
      <c r="AD26" s="42">
        <v>75.5</v>
      </c>
      <c r="AE26" s="39" t="s">
        <v>105</v>
      </c>
      <c r="AF26" s="22" t="s">
        <v>128</v>
      </c>
      <c r="AG26" s="44" t="s">
        <v>161</v>
      </c>
    </row>
    <row r="27" ht="21" customHeight="1" spans="1:33" x14ac:dyDescent="0.25">
      <c r="A27" s="19" t="s">
        <v>96</v>
      </c>
      <c r="B27" s="19" t="s">
        <v>162</v>
      </c>
      <c r="C27" s="19" t="s">
        <v>162</v>
      </c>
      <c r="D27" s="19"/>
      <c r="E27" s="19" t="s">
        <v>163</v>
      </c>
      <c r="F27" s="19" t="s">
        <v>135</v>
      </c>
      <c r="G27" s="19" t="s">
        <v>136</v>
      </c>
      <c r="H27" s="19" t="s">
        <v>132</v>
      </c>
      <c r="I27" s="19" t="s">
        <v>102</v>
      </c>
      <c r="J27" s="19" t="s">
        <v>103</v>
      </c>
      <c r="K27" s="36">
        <v>26</v>
      </c>
      <c r="L27" s="36">
        <v>8000</v>
      </c>
      <c r="M27" s="19" t="s">
        <v>104</v>
      </c>
      <c r="N27" s="36">
        <v>90</v>
      </c>
      <c r="O27" s="37">
        <v>12</v>
      </c>
      <c r="P27" s="36">
        <v>102</v>
      </c>
      <c r="Q27" s="37">
        <v>11.8</v>
      </c>
      <c r="R27" s="20">
        <v>470</v>
      </c>
      <c r="S27" s="36">
        <v>5.222</v>
      </c>
      <c r="T27" s="36">
        <v>4.608</v>
      </c>
      <c r="U27" s="38">
        <v>52</v>
      </c>
      <c r="V27" s="38">
        <v>34</v>
      </c>
      <c r="W27" s="38">
        <v>0</v>
      </c>
      <c r="X27" s="38">
        <v>11.75</v>
      </c>
      <c r="Y27" s="38">
        <v>0</v>
      </c>
      <c r="Z27" s="20">
        <v>0</v>
      </c>
      <c r="AA27" s="20">
        <v>97.75</v>
      </c>
      <c r="AB27" s="20">
        <v>372.25</v>
      </c>
      <c r="AC27" s="36">
        <v>3.65</v>
      </c>
      <c r="AD27" s="37">
        <v>79.2</v>
      </c>
      <c r="AE27" s="39" t="s">
        <v>105</v>
      </c>
      <c r="AF27" s="19" t="s">
        <v>128</v>
      </c>
      <c r="AG27" s="40"/>
    </row>
    <row r="28" ht="21" customHeight="1" spans="1:33" x14ac:dyDescent="0.25">
      <c r="A28" s="22" t="s">
        <v>96</v>
      </c>
      <c r="B28" s="22" t="s">
        <v>164</v>
      </c>
      <c r="C28" s="22" t="s">
        <v>164</v>
      </c>
      <c r="D28" s="22"/>
      <c r="E28" s="22" t="s">
        <v>165</v>
      </c>
      <c r="F28" s="22" t="s">
        <v>99</v>
      </c>
      <c r="G28" s="22" t="s">
        <v>143</v>
      </c>
      <c r="H28" s="22" t="s">
        <v>136</v>
      </c>
      <c r="I28" s="22" t="s">
        <v>102</v>
      </c>
      <c r="J28" s="22" t="s">
        <v>103</v>
      </c>
      <c r="K28" s="41">
        <v>26</v>
      </c>
      <c r="L28" s="41">
        <v>8000</v>
      </c>
      <c r="M28" s="22" t="s">
        <v>104</v>
      </c>
      <c r="N28" s="41">
        <v>175</v>
      </c>
      <c r="O28" s="42">
        <v>22</v>
      </c>
      <c r="P28" s="41">
        <v>197</v>
      </c>
      <c r="Q28" s="42">
        <v>11.2</v>
      </c>
      <c r="R28" s="23">
        <v>720</v>
      </c>
      <c r="S28" s="41">
        <v>4.114</v>
      </c>
      <c r="T28" s="41">
        <v>3.655</v>
      </c>
      <c r="U28" s="43">
        <v>96</v>
      </c>
      <c r="V28" s="43">
        <v>28</v>
      </c>
      <c r="W28" s="43">
        <v>0</v>
      </c>
      <c r="X28" s="43">
        <v>18</v>
      </c>
      <c r="Y28" s="43">
        <v>0</v>
      </c>
      <c r="Z28" s="23">
        <v>0</v>
      </c>
      <c r="AA28" s="23">
        <v>142</v>
      </c>
      <c r="AB28" s="23">
        <v>578</v>
      </c>
      <c r="AC28" s="41">
        <v>2.934</v>
      </c>
      <c r="AD28" s="42">
        <v>80.3</v>
      </c>
      <c r="AE28" s="39" t="s">
        <v>105</v>
      </c>
      <c r="AF28" s="22" t="s">
        <v>128</v>
      </c>
      <c r="AG28" s="44" t="s">
        <v>166</v>
      </c>
    </row>
    <row r="29" ht="21" customHeight="1" spans="1:33" x14ac:dyDescent="0.25">
      <c r="A29" s="19" t="s">
        <v>96</v>
      </c>
      <c r="B29" s="19" t="s">
        <v>167</v>
      </c>
      <c r="C29" s="19" t="s">
        <v>167</v>
      </c>
      <c r="D29" s="19"/>
      <c r="E29" s="19" t="s">
        <v>168</v>
      </c>
      <c r="F29" s="19" t="s">
        <v>115</v>
      </c>
      <c r="G29" s="19" t="s">
        <v>127</v>
      </c>
      <c r="H29" s="19" t="s">
        <v>111</v>
      </c>
      <c r="I29" s="19" t="s">
        <v>102</v>
      </c>
      <c r="J29" s="19" t="s">
        <v>103</v>
      </c>
      <c r="K29" s="36">
        <v>26</v>
      </c>
      <c r="L29" s="36">
        <v>6866</v>
      </c>
      <c r="M29" s="19" t="s">
        <v>104</v>
      </c>
      <c r="N29" s="36">
        <v>90</v>
      </c>
      <c r="O29" s="37">
        <v>16</v>
      </c>
      <c r="P29" s="36">
        <v>106</v>
      </c>
      <c r="Q29" s="37">
        <v>15.1</v>
      </c>
      <c r="R29" s="20">
        <v>355</v>
      </c>
      <c r="S29" s="36">
        <v>3.944</v>
      </c>
      <c r="T29" s="36">
        <v>3.349</v>
      </c>
      <c r="U29" s="38">
        <v>46.64</v>
      </c>
      <c r="V29" s="38">
        <v>30</v>
      </c>
      <c r="W29" s="38">
        <v>17.75</v>
      </c>
      <c r="X29" s="38">
        <v>8.88</v>
      </c>
      <c r="Y29" s="38">
        <v>0</v>
      </c>
      <c r="Z29" s="20">
        <v>0</v>
      </c>
      <c r="AA29" s="20">
        <v>103.27</v>
      </c>
      <c r="AB29" s="20">
        <v>251.73</v>
      </c>
      <c r="AC29" s="36">
        <v>2.375</v>
      </c>
      <c r="AD29" s="37">
        <v>70.9</v>
      </c>
      <c r="AE29" s="39" t="s">
        <v>105</v>
      </c>
      <c r="AF29" s="19" t="s">
        <v>128</v>
      </c>
      <c r="AG29" s="40"/>
    </row>
    <row r="30" ht="21" customHeight="1" spans="1:33" x14ac:dyDescent="0.25">
      <c r="A30" s="22" t="s">
        <v>96</v>
      </c>
      <c r="B30" s="22" t="s">
        <v>169</v>
      </c>
      <c r="C30" s="22" t="s">
        <v>169</v>
      </c>
      <c r="D30" s="22"/>
      <c r="E30" s="22" t="s">
        <v>170</v>
      </c>
      <c r="F30" s="22" t="s">
        <v>115</v>
      </c>
      <c r="G30" s="22" t="s">
        <v>140</v>
      </c>
      <c r="H30" s="22" t="s">
        <v>136</v>
      </c>
      <c r="I30" s="22" t="s">
        <v>102</v>
      </c>
      <c r="J30" s="22" t="s">
        <v>103</v>
      </c>
      <c r="K30" s="41">
        <v>26</v>
      </c>
      <c r="L30" s="41">
        <v>9332</v>
      </c>
      <c r="M30" s="22" t="s">
        <v>104</v>
      </c>
      <c r="N30" s="41">
        <v>144</v>
      </c>
      <c r="O30" s="42">
        <v>15</v>
      </c>
      <c r="P30" s="41">
        <v>159</v>
      </c>
      <c r="Q30" s="42">
        <v>9.4</v>
      </c>
      <c r="R30" s="23">
        <v>605</v>
      </c>
      <c r="S30" s="41">
        <v>4.201</v>
      </c>
      <c r="T30" s="41">
        <v>3.805</v>
      </c>
      <c r="U30" s="43">
        <v>69.96</v>
      </c>
      <c r="V30" s="43">
        <v>0</v>
      </c>
      <c r="W30" s="43">
        <v>30.25</v>
      </c>
      <c r="X30" s="43">
        <v>15.13</v>
      </c>
      <c r="Y30" s="43">
        <v>3</v>
      </c>
      <c r="Z30" s="23">
        <v>0</v>
      </c>
      <c r="AA30" s="23">
        <v>118.34</v>
      </c>
      <c r="AB30" s="23">
        <v>486.66</v>
      </c>
      <c r="AC30" s="41">
        <v>3.061</v>
      </c>
      <c r="AD30" s="42">
        <v>80.4</v>
      </c>
      <c r="AE30" s="39" t="s">
        <v>105</v>
      </c>
      <c r="AF30" s="22" t="s">
        <v>128</v>
      </c>
      <c r="AG30" s="44"/>
    </row>
    <row r="31" ht="21" customHeight="1" spans="1:33" x14ac:dyDescent="0.25">
      <c r="A31" s="19" t="s">
        <v>96</v>
      </c>
      <c r="B31" s="19" t="s">
        <v>171</v>
      </c>
      <c r="C31" s="19" t="s">
        <v>171</v>
      </c>
      <c r="D31" s="19"/>
      <c r="E31" s="19" t="s">
        <v>172</v>
      </c>
      <c r="F31" s="19" t="s">
        <v>99</v>
      </c>
      <c r="G31" s="19" t="s">
        <v>116</v>
      </c>
      <c r="H31" s="19" t="s">
        <v>127</v>
      </c>
      <c r="I31" s="19" t="s">
        <v>102</v>
      </c>
      <c r="J31" s="19" t="s">
        <v>103</v>
      </c>
      <c r="K31" s="36">
        <v>26</v>
      </c>
      <c r="L31" s="36">
        <v>8078</v>
      </c>
      <c r="M31" s="19" t="s">
        <v>104</v>
      </c>
      <c r="N31" s="36">
        <v>152</v>
      </c>
      <c r="O31" s="37">
        <v>39</v>
      </c>
      <c r="P31" s="36">
        <v>191</v>
      </c>
      <c r="Q31" s="37">
        <v>20.4</v>
      </c>
      <c r="R31" s="20">
        <v>630</v>
      </c>
      <c r="S31" s="36">
        <v>4.145</v>
      </c>
      <c r="T31" s="36">
        <v>3.298</v>
      </c>
      <c r="U31" s="38">
        <v>84.04</v>
      </c>
      <c r="V31" s="38">
        <v>0</v>
      </c>
      <c r="W31" s="38">
        <v>31.5</v>
      </c>
      <c r="X31" s="38">
        <v>15.75</v>
      </c>
      <c r="Y31" s="38">
        <v>0</v>
      </c>
      <c r="Z31" s="20">
        <v>0</v>
      </c>
      <c r="AA31" s="20">
        <v>131.29</v>
      </c>
      <c r="AB31" s="20">
        <v>498.71</v>
      </c>
      <c r="AC31" s="36">
        <v>2.611</v>
      </c>
      <c r="AD31" s="37">
        <v>79.2</v>
      </c>
      <c r="AE31" s="39" t="s">
        <v>105</v>
      </c>
      <c r="AF31" s="19" t="s">
        <v>128</v>
      </c>
      <c r="AG31" s="40"/>
    </row>
    <row r="32" ht="21" customHeight="1" spans="1:33" x14ac:dyDescent="0.25">
      <c r="A32" s="22" t="s">
        <v>96</v>
      </c>
      <c r="B32" s="22" t="s">
        <v>173</v>
      </c>
      <c r="C32" s="22" t="s">
        <v>173</v>
      </c>
      <c r="D32" s="22"/>
      <c r="E32" s="22" t="s">
        <v>174</v>
      </c>
      <c r="F32" s="22" t="s">
        <v>121</v>
      </c>
      <c r="G32" s="22" t="s">
        <v>132</v>
      </c>
      <c r="H32" s="22" t="s">
        <v>127</v>
      </c>
      <c r="I32" s="22" t="s">
        <v>102</v>
      </c>
      <c r="J32" s="22" t="s">
        <v>103</v>
      </c>
      <c r="K32" s="41">
        <v>26</v>
      </c>
      <c r="L32" s="41">
        <v>6701</v>
      </c>
      <c r="M32" s="22" t="s">
        <v>104</v>
      </c>
      <c r="N32" s="41">
        <v>189</v>
      </c>
      <c r="O32" s="42">
        <v>48</v>
      </c>
      <c r="P32" s="41">
        <v>237</v>
      </c>
      <c r="Q32" s="42">
        <v>20.3</v>
      </c>
      <c r="R32" s="23">
        <v>690</v>
      </c>
      <c r="S32" s="41">
        <v>3.651</v>
      </c>
      <c r="T32" s="41">
        <v>2.911</v>
      </c>
      <c r="U32" s="43">
        <v>104.28</v>
      </c>
      <c r="V32" s="43">
        <v>30</v>
      </c>
      <c r="W32" s="43">
        <v>34.5</v>
      </c>
      <c r="X32" s="43">
        <v>17.25</v>
      </c>
      <c r="Y32" s="43">
        <v>0</v>
      </c>
      <c r="Z32" s="23">
        <v>0</v>
      </c>
      <c r="AA32" s="23">
        <v>186.03</v>
      </c>
      <c r="AB32" s="23">
        <v>503.97</v>
      </c>
      <c r="AC32" s="41">
        <v>2.126</v>
      </c>
      <c r="AD32" s="42">
        <v>73</v>
      </c>
      <c r="AE32" s="39" t="s">
        <v>105</v>
      </c>
      <c r="AF32" s="22" t="s">
        <v>128</v>
      </c>
      <c r="AG32" s="44"/>
    </row>
    <row r="33" ht="21" customHeight="1" spans="1:33" x14ac:dyDescent="0.25">
      <c r="A33" s="19" t="s">
        <v>96</v>
      </c>
      <c r="B33" s="19" t="s">
        <v>175</v>
      </c>
      <c r="C33" s="19" t="s">
        <v>175</v>
      </c>
      <c r="D33" s="19"/>
      <c r="E33" s="19" t="s">
        <v>176</v>
      </c>
      <c r="F33" s="19" t="s">
        <v>131</v>
      </c>
      <c r="G33" s="19" t="s">
        <v>127</v>
      </c>
      <c r="H33" s="19" t="s">
        <v>101</v>
      </c>
      <c r="I33" s="19" t="s">
        <v>102</v>
      </c>
      <c r="J33" s="19" t="s">
        <v>103</v>
      </c>
      <c r="K33" s="36">
        <v>26</v>
      </c>
      <c r="L33" s="36">
        <v>10351</v>
      </c>
      <c r="M33" s="19" t="s">
        <v>104</v>
      </c>
      <c r="N33" s="36">
        <v>110</v>
      </c>
      <c r="O33" s="37">
        <v>23</v>
      </c>
      <c r="P33" s="36">
        <v>133</v>
      </c>
      <c r="Q33" s="37">
        <v>17.3</v>
      </c>
      <c r="R33" s="20">
        <v>480</v>
      </c>
      <c r="S33" s="36">
        <v>4.364</v>
      </c>
      <c r="T33" s="36">
        <v>3.609</v>
      </c>
      <c r="U33" s="38">
        <v>58.52</v>
      </c>
      <c r="V33" s="38">
        <v>0</v>
      </c>
      <c r="W33" s="38">
        <v>24</v>
      </c>
      <c r="X33" s="38">
        <v>12</v>
      </c>
      <c r="Y33" s="38">
        <v>0</v>
      </c>
      <c r="Z33" s="20">
        <v>0</v>
      </c>
      <c r="AA33" s="20">
        <v>94.52</v>
      </c>
      <c r="AB33" s="20">
        <v>385.48</v>
      </c>
      <c r="AC33" s="36">
        <v>2.898</v>
      </c>
      <c r="AD33" s="37">
        <v>80.3</v>
      </c>
      <c r="AE33" s="39" t="s">
        <v>105</v>
      </c>
      <c r="AF33" s="19" t="s">
        <v>128</v>
      </c>
      <c r="AG33" s="40"/>
    </row>
    <row r="34" ht="21" customHeight="1" spans="1:33" x14ac:dyDescent="0.25">
      <c r="A34" s="22" t="s">
        <v>96</v>
      </c>
      <c r="B34" s="22" t="s">
        <v>177</v>
      </c>
      <c r="C34" s="22" t="s">
        <v>177</v>
      </c>
      <c r="D34" s="22"/>
      <c r="E34" s="22" t="s">
        <v>178</v>
      </c>
      <c r="F34" s="22" t="s">
        <v>135</v>
      </c>
      <c r="G34" s="22" t="s">
        <v>116</v>
      </c>
      <c r="H34" s="22" t="s">
        <v>127</v>
      </c>
      <c r="I34" s="22" t="s">
        <v>102</v>
      </c>
      <c r="J34" s="22" t="s">
        <v>103</v>
      </c>
      <c r="K34" s="41">
        <v>26</v>
      </c>
      <c r="L34" s="41">
        <v>8378</v>
      </c>
      <c r="M34" s="22" t="s">
        <v>104</v>
      </c>
      <c r="N34" s="41">
        <v>154</v>
      </c>
      <c r="O34" s="42">
        <v>19</v>
      </c>
      <c r="P34" s="41">
        <v>173</v>
      </c>
      <c r="Q34" s="42">
        <v>11</v>
      </c>
      <c r="R34" s="23">
        <v>685</v>
      </c>
      <c r="S34" s="41">
        <v>4.448</v>
      </c>
      <c r="T34" s="41">
        <v>3.96</v>
      </c>
      <c r="U34" s="43">
        <v>76.12</v>
      </c>
      <c r="V34" s="43">
        <v>4</v>
      </c>
      <c r="W34" s="43">
        <v>34.25</v>
      </c>
      <c r="X34" s="43">
        <v>17.13</v>
      </c>
      <c r="Y34" s="43">
        <v>0</v>
      </c>
      <c r="Z34" s="23">
        <v>0</v>
      </c>
      <c r="AA34" s="23">
        <v>131.5</v>
      </c>
      <c r="AB34" s="23">
        <v>553.5</v>
      </c>
      <c r="AC34" s="41">
        <v>3.199</v>
      </c>
      <c r="AD34" s="42">
        <v>80.8</v>
      </c>
      <c r="AE34" s="39" t="s">
        <v>105</v>
      </c>
      <c r="AF34" s="22" t="s">
        <v>128</v>
      </c>
      <c r="AG34" s="44"/>
    </row>
    <row r="35" ht="21" customHeight="1" spans="1:33" x14ac:dyDescent="0.25">
      <c r="A35" s="19" t="s">
        <v>96</v>
      </c>
      <c r="B35" s="19" t="s">
        <v>179</v>
      </c>
      <c r="C35" s="19" t="s">
        <v>179</v>
      </c>
      <c r="D35" s="19"/>
      <c r="E35" s="19" t="s">
        <v>180</v>
      </c>
      <c r="F35" s="19" t="s">
        <v>115</v>
      </c>
      <c r="G35" s="19" t="s">
        <v>127</v>
      </c>
      <c r="H35" s="19" t="s">
        <v>111</v>
      </c>
      <c r="I35" s="19" t="s">
        <v>102</v>
      </c>
      <c r="J35" s="19" t="s">
        <v>103</v>
      </c>
      <c r="K35" s="36">
        <v>26</v>
      </c>
      <c r="L35" s="36">
        <v>9930</v>
      </c>
      <c r="M35" s="19" t="s">
        <v>104</v>
      </c>
      <c r="N35" s="36">
        <v>89</v>
      </c>
      <c r="O35" s="37">
        <v>22</v>
      </c>
      <c r="P35" s="36">
        <v>111</v>
      </c>
      <c r="Q35" s="37">
        <v>19.8</v>
      </c>
      <c r="R35" s="20">
        <v>375</v>
      </c>
      <c r="S35" s="36">
        <v>4.213</v>
      </c>
      <c r="T35" s="36">
        <v>3.378</v>
      </c>
      <c r="U35" s="38">
        <v>48.84</v>
      </c>
      <c r="V35" s="38">
        <v>28</v>
      </c>
      <c r="W35" s="38">
        <v>18.75</v>
      </c>
      <c r="X35" s="38">
        <v>9.38</v>
      </c>
      <c r="Y35" s="38">
        <v>19</v>
      </c>
      <c r="Z35" s="20">
        <v>0</v>
      </c>
      <c r="AA35" s="20">
        <v>123.97</v>
      </c>
      <c r="AB35" s="20">
        <v>251.03</v>
      </c>
      <c r="AC35" s="36">
        <v>2.262</v>
      </c>
      <c r="AD35" s="37">
        <v>66.9</v>
      </c>
      <c r="AE35" s="39" t="s">
        <v>105</v>
      </c>
      <c r="AF35" s="19" t="s">
        <v>128</v>
      </c>
      <c r="AG35" s="40"/>
    </row>
    <row r="36" ht="21" customHeight="1" spans="1:33" x14ac:dyDescent="0.25">
      <c r="A36" s="22" t="s">
        <v>96</v>
      </c>
      <c r="B36" s="22" t="s">
        <v>181</v>
      </c>
      <c r="C36" s="22" t="s">
        <v>181</v>
      </c>
      <c r="D36" s="22"/>
      <c r="E36" s="22" t="s">
        <v>182</v>
      </c>
      <c r="F36" s="22" t="s">
        <v>131</v>
      </c>
      <c r="G36" s="22" t="s">
        <v>132</v>
      </c>
      <c r="H36" s="22" t="s">
        <v>127</v>
      </c>
      <c r="I36" s="22" t="s">
        <v>102</v>
      </c>
      <c r="J36" s="22" t="s">
        <v>103</v>
      </c>
      <c r="K36" s="41">
        <v>26</v>
      </c>
      <c r="L36" s="41">
        <v>9820</v>
      </c>
      <c r="M36" s="22" t="s">
        <v>104</v>
      </c>
      <c r="N36" s="41">
        <v>192</v>
      </c>
      <c r="O36" s="42">
        <v>41</v>
      </c>
      <c r="P36" s="41">
        <v>233</v>
      </c>
      <c r="Q36" s="42">
        <v>17.6</v>
      </c>
      <c r="R36" s="23">
        <v>700</v>
      </c>
      <c r="S36" s="41">
        <v>3.646</v>
      </c>
      <c r="T36" s="41">
        <v>3.004</v>
      </c>
      <c r="U36" s="43">
        <v>102.52</v>
      </c>
      <c r="V36" s="43">
        <v>0</v>
      </c>
      <c r="W36" s="43">
        <v>35</v>
      </c>
      <c r="X36" s="43">
        <v>17.5</v>
      </c>
      <c r="Y36" s="43">
        <v>0</v>
      </c>
      <c r="Z36" s="23">
        <v>0</v>
      </c>
      <c r="AA36" s="23">
        <v>155.02</v>
      </c>
      <c r="AB36" s="23">
        <v>544.98</v>
      </c>
      <c r="AC36" s="41">
        <v>2.339</v>
      </c>
      <c r="AD36" s="42">
        <v>77.9</v>
      </c>
      <c r="AE36" s="39" t="s">
        <v>105</v>
      </c>
      <c r="AF36" s="22" t="s">
        <v>128</v>
      </c>
      <c r="AG36" s="44"/>
    </row>
    <row r="37" ht="21" customHeight="1" spans="1:33" x14ac:dyDescent="0.25">
      <c r="A37" s="19" t="s">
        <v>96</v>
      </c>
      <c r="B37" s="19" t="s">
        <v>183</v>
      </c>
      <c r="C37" s="19" t="s">
        <v>183</v>
      </c>
      <c r="D37" s="19"/>
      <c r="E37" s="19" t="s">
        <v>184</v>
      </c>
      <c r="F37" s="19" t="s">
        <v>115</v>
      </c>
      <c r="G37" s="19" t="s">
        <v>116</v>
      </c>
      <c r="H37" s="19" t="s">
        <v>127</v>
      </c>
      <c r="I37" s="19" t="s">
        <v>102</v>
      </c>
      <c r="J37" s="19" t="s">
        <v>103</v>
      </c>
      <c r="K37" s="36">
        <v>26</v>
      </c>
      <c r="L37" s="36">
        <v>9505</v>
      </c>
      <c r="M37" s="19" t="s">
        <v>104</v>
      </c>
      <c r="N37" s="36">
        <v>147</v>
      </c>
      <c r="O37" s="37">
        <v>30</v>
      </c>
      <c r="P37" s="36">
        <v>177</v>
      </c>
      <c r="Q37" s="37">
        <v>16.9</v>
      </c>
      <c r="R37" s="20">
        <v>545</v>
      </c>
      <c r="S37" s="36">
        <v>3.707</v>
      </c>
      <c r="T37" s="36">
        <v>3.079</v>
      </c>
      <c r="U37" s="38">
        <v>77.88</v>
      </c>
      <c r="V37" s="38">
        <v>14</v>
      </c>
      <c r="W37" s="38">
        <v>27.25</v>
      </c>
      <c r="X37" s="38">
        <v>13.63</v>
      </c>
      <c r="Y37" s="38">
        <v>0</v>
      </c>
      <c r="Z37" s="20">
        <v>0</v>
      </c>
      <c r="AA37" s="20">
        <v>132.76</v>
      </c>
      <c r="AB37" s="20">
        <v>412.24</v>
      </c>
      <c r="AC37" s="36">
        <v>2.329</v>
      </c>
      <c r="AD37" s="37">
        <v>75.6</v>
      </c>
      <c r="AE37" s="39" t="s">
        <v>105</v>
      </c>
      <c r="AF37" s="19" t="s">
        <v>128</v>
      </c>
      <c r="AG37" s="40"/>
    </row>
    <row r="38" ht="21" customHeight="1" spans="1:33" x14ac:dyDescent="0.25">
      <c r="A38" s="22" t="s">
        <v>96</v>
      </c>
      <c r="B38" s="22" t="s">
        <v>185</v>
      </c>
      <c r="C38" s="22" t="s">
        <v>185</v>
      </c>
      <c r="D38" s="22"/>
      <c r="E38" s="22" t="s">
        <v>186</v>
      </c>
      <c r="F38" s="22" t="s">
        <v>115</v>
      </c>
      <c r="G38" s="22" t="s">
        <v>132</v>
      </c>
      <c r="H38" s="22" t="s">
        <v>127</v>
      </c>
      <c r="I38" s="22" t="s">
        <v>102</v>
      </c>
      <c r="J38" s="22" t="s">
        <v>103</v>
      </c>
      <c r="K38" s="41">
        <v>26</v>
      </c>
      <c r="L38" s="41">
        <v>10352</v>
      </c>
      <c r="M38" s="22" t="s">
        <v>104</v>
      </c>
      <c r="N38" s="41">
        <v>189</v>
      </c>
      <c r="O38" s="42">
        <v>29</v>
      </c>
      <c r="P38" s="41">
        <v>218</v>
      </c>
      <c r="Q38" s="42">
        <v>13.3</v>
      </c>
      <c r="R38" s="23">
        <v>730</v>
      </c>
      <c r="S38" s="41">
        <v>3.862</v>
      </c>
      <c r="T38" s="41">
        <v>3.349</v>
      </c>
      <c r="U38" s="43">
        <v>95.92</v>
      </c>
      <c r="V38" s="43">
        <v>0</v>
      </c>
      <c r="W38" s="43">
        <v>36.5</v>
      </c>
      <c r="X38" s="43">
        <v>18.25</v>
      </c>
      <c r="Y38" s="43">
        <v>0</v>
      </c>
      <c r="Z38" s="23">
        <v>0</v>
      </c>
      <c r="AA38" s="23">
        <v>150.67</v>
      </c>
      <c r="AB38" s="23">
        <v>579.33</v>
      </c>
      <c r="AC38" s="41">
        <v>2.657</v>
      </c>
      <c r="AD38" s="42">
        <v>79.4</v>
      </c>
      <c r="AE38" s="39" t="s">
        <v>105</v>
      </c>
      <c r="AF38" s="22" t="s">
        <v>128</v>
      </c>
      <c r="AG38" s="44"/>
    </row>
    <row r="39" ht="21" customHeight="1" spans="1:33" x14ac:dyDescent="0.25">
      <c r="A39" s="19" t="s">
        <v>96</v>
      </c>
      <c r="B39" s="19" t="s">
        <v>187</v>
      </c>
      <c r="C39" s="19" t="s">
        <v>187</v>
      </c>
      <c r="D39" s="19"/>
      <c r="E39" s="19" t="s">
        <v>188</v>
      </c>
      <c r="F39" s="19" t="s">
        <v>121</v>
      </c>
      <c r="G39" s="19" t="s">
        <v>132</v>
      </c>
      <c r="H39" s="19" t="s">
        <v>127</v>
      </c>
      <c r="I39" s="19" t="s">
        <v>102</v>
      </c>
      <c r="J39" s="19" t="s">
        <v>103</v>
      </c>
      <c r="K39" s="36">
        <v>26</v>
      </c>
      <c r="L39" s="36">
        <v>11205</v>
      </c>
      <c r="M39" s="19" t="s">
        <v>104</v>
      </c>
      <c r="N39" s="36">
        <v>193</v>
      </c>
      <c r="O39" s="37">
        <v>25</v>
      </c>
      <c r="P39" s="36">
        <v>218</v>
      </c>
      <c r="Q39" s="37">
        <v>11.5</v>
      </c>
      <c r="R39" s="20">
        <v>755</v>
      </c>
      <c r="S39" s="36">
        <v>3.912</v>
      </c>
      <c r="T39" s="36">
        <v>3.463</v>
      </c>
      <c r="U39" s="38">
        <v>95.92</v>
      </c>
      <c r="V39" s="38">
        <v>5</v>
      </c>
      <c r="W39" s="38">
        <v>37.75</v>
      </c>
      <c r="X39" s="38">
        <v>18.88</v>
      </c>
      <c r="Y39" s="38">
        <v>0</v>
      </c>
      <c r="Z39" s="20">
        <v>0</v>
      </c>
      <c r="AA39" s="20">
        <v>157.55</v>
      </c>
      <c r="AB39" s="20">
        <v>597.45</v>
      </c>
      <c r="AC39" s="36">
        <v>2.741</v>
      </c>
      <c r="AD39" s="37">
        <v>79.1</v>
      </c>
      <c r="AE39" s="39" t="s">
        <v>105</v>
      </c>
      <c r="AF39" s="19" t="s">
        <v>128</v>
      </c>
      <c r="AG39" s="40"/>
    </row>
    <row r="40" ht="21" customHeight="1" spans="1:33" x14ac:dyDescent="0.25">
      <c r="A40" s="22" t="s">
        <v>96</v>
      </c>
      <c r="B40" s="22" t="s">
        <v>189</v>
      </c>
      <c r="C40" s="22" t="s">
        <v>189</v>
      </c>
      <c r="D40" s="22"/>
      <c r="E40" s="22" t="s">
        <v>190</v>
      </c>
      <c r="F40" s="22" t="s">
        <v>115</v>
      </c>
      <c r="G40" s="22" t="s">
        <v>132</v>
      </c>
      <c r="H40" s="22" t="s">
        <v>127</v>
      </c>
      <c r="I40" s="22" t="s">
        <v>102</v>
      </c>
      <c r="J40" s="22" t="s">
        <v>103</v>
      </c>
      <c r="K40" s="41">
        <v>26</v>
      </c>
      <c r="L40" s="41">
        <v>7128</v>
      </c>
      <c r="M40" s="22" t="s">
        <v>104</v>
      </c>
      <c r="N40" s="41">
        <v>186</v>
      </c>
      <c r="O40" s="42">
        <v>43</v>
      </c>
      <c r="P40" s="41">
        <v>229</v>
      </c>
      <c r="Q40" s="42">
        <v>18.8</v>
      </c>
      <c r="R40" s="23">
        <v>835</v>
      </c>
      <c r="S40" s="41">
        <v>4.489</v>
      </c>
      <c r="T40" s="41">
        <v>3.646</v>
      </c>
      <c r="U40" s="43">
        <v>100.76</v>
      </c>
      <c r="V40" s="43">
        <v>0</v>
      </c>
      <c r="W40" s="43">
        <v>41.75</v>
      </c>
      <c r="X40" s="43">
        <v>20.88</v>
      </c>
      <c r="Y40" s="43">
        <v>0</v>
      </c>
      <c r="Z40" s="23">
        <v>0</v>
      </c>
      <c r="AA40" s="23">
        <v>163.39</v>
      </c>
      <c r="AB40" s="23">
        <v>671.61</v>
      </c>
      <c r="AC40" s="41">
        <v>2.933</v>
      </c>
      <c r="AD40" s="42">
        <v>80.4</v>
      </c>
      <c r="AE40" s="39" t="s">
        <v>105</v>
      </c>
      <c r="AF40" s="22" t="s">
        <v>128</v>
      </c>
      <c r="AG40" s="44"/>
    </row>
    <row r="41" ht="21" customHeight="1" spans="1:33" x14ac:dyDescent="0.25">
      <c r="A41" s="19" t="s">
        <v>96</v>
      </c>
      <c r="B41" s="19" t="s">
        <v>191</v>
      </c>
      <c r="C41" s="19" t="s">
        <v>191</v>
      </c>
      <c r="D41" s="19"/>
      <c r="E41" s="19" t="s">
        <v>192</v>
      </c>
      <c r="F41" s="19" t="s">
        <v>99</v>
      </c>
      <c r="G41" s="19" t="s">
        <v>143</v>
      </c>
      <c r="H41" s="19" t="s">
        <v>136</v>
      </c>
      <c r="I41" s="19" t="s">
        <v>102</v>
      </c>
      <c r="J41" s="19" t="s">
        <v>103</v>
      </c>
      <c r="K41" s="36">
        <v>26</v>
      </c>
      <c r="L41" s="36">
        <v>8559</v>
      </c>
      <c r="M41" s="19" t="s">
        <v>104</v>
      </c>
      <c r="N41" s="36">
        <v>174</v>
      </c>
      <c r="O41" s="37">
        <v>42</v>
      </c>
      <c r="P41" s="36">
        <v>216</v>
      </c>
      <c r="Q41" s="37">
        <v>19.4</v>
      </c>
      <c r="R41" s="20">
        <v>640</v>
      </c>
      <c r="S41" s="36">
        <v>3.678</v>
      </c>
      <c r="T41" s="36">
        <v>2.963</v>
      </c>
      <c r="U41" s="38">
        <v>95.04</v>
      </c>
      <c r="V41" s="38">
        <v>0</v>
      </c>
      <c r="W41" s="38">
        <v>32</v>
      </c>
      <c r="X41" s="38">
        <v>16</v>
      </c>
      <c r="Y41" s="38">
        <v>0</v>
      </c>
      <c r="Z41" s="20">
        <v>0</v>
      </c>
      <c r="AA41" s="20">
        <v>143.04</v>
      </c>
      <c r="AB41" s="20">
        <v>496.96</v>
      </c>
      <c r="AC41" s="36">
        <v>2.301</v>
      </c>
      <c r="AD41" s="37">
        <v>77.6</v>
      </c>
      <c r="AE41" s="39" t="s">
        <v>105</v>
      </c>
      <c r="AF41" s="19" t="s">
        <v>128</v>
      </c>
      <c r="AG41" s="40"/>
    </row>
    <row r="42" ht="21" customHeight="1" spans="1:33" x14ac:dyDescent="0.25">
      <c r="A42" s="22" t="s">
        <v>96</v>
      </c>
      <c r="B42" s="22" t="s">
        <v>193</v>
      </c>
      <c r="C42" s="22" t="s">
        <v>193</v>
      </c>
      <c r="D42" s="22"/>
      <c r="E42" s="22" t="s">
        <v>194</v>
      </c>
      <c r="F42" s="22" t="s">
        <v>126</v>
      </c>
      <c r="G42" s="22" t="s">
        <v>100</v>
      </c>
      <c r="H42" s="22" t="s">
        <v>140</v>
      </c>
      <c r="I42" s="22" t="s">
        <v>102</v>
      </c>
      <c r="J42" s="22" t="s">
        <v>103</v>
      </c>
      <c r="K42" s="41">
        <v>26</v>
      </c>
      <c r="L42" s="41">
        <v>11880</v>
      </c>
      <c r="M42" s="22" t="s">
        <v>104</v>
      </c>
      <c r="N42" s="41">
        <v>38</v>
      </c>
      <c r="O42" s="42">
        <v>5</v>
      </c>
      <c r="P42" s="41">
        <v>43</v>
      </c>
      <c r="Q42" s="42">
        <v>11.6</v>
      </c>
      <c r="R42" s="23">
        <v>140</v>
      </c>
      <c r="S42" s="41">
        <v>3.684</v>
      </c>
      <c r="T42" s="41">
        <v>3.256</v>
      </c>
      <c r="U42" s="43">
        <v>18.92</v>
      </c>
      <c r="V42" s="43">
        <v>32</v>
      </c>
      <c r="W42" s="43">
        <v>7</v>
      </c>
      <c r="X42" s="43">
        <v>3.5</v>
      </c>
      <c r="Y42" s="43">
        <v>7</v>
      </c>
      <c r="Z42" s="23">
        <v>0</v>
      </c>
      <c r="AA42" s="23">
        <v>68.42</v>
      </c>
      <c r="AB42" s="23">
        <v>71.58</v>
      </c>
      <c r="AC42" s="41">
        <v>1.665</v>
      </c>
      <c r="AD42" s="42">
        <v>51.1</v>
      </c>
      <c r="AE42" s="39" t="s">
        <v>112</v>
      </c>
      <c r="AF42" s="22" t="s">
        <v>128</v>
      </c>
      <c r="AG42" s="44"/>
    </row>
    <row r="43" ht="21" customHeight="1" spans="1:33" x14ac:dyDescent="0.25">
      <c r="A43" s="19" t="s">
        <v>96</v>
      </c>
      <c r="B43" s="19" t="s">
        <v>195</v>
      </c>
      <c r="C43" s="19" t="s">
        <v>195</v>
      </c>
      <c r="D43" s="19"/>
      <c r="E43" s="19" t="s">
        <v>196</v>
      </c>
      <c r="F43" s="19" t="s">
        <v>110</v>
      </c>
      <c r="G43" s="19" t="s">
        <v>101</v>
      </c>
      <c r="H43" s="19" t="s">
        <v>116</v>
      </c>
      <c r="I43" s="19" t="s">
        <v>102</v>
      </c>
      <c r="J43" s="19" t="s">
        <v>103</v>
      </c>
      <c r="K43" s="36">
        <v>26</v>
      </c>
      <c r="L43" s="36">
        <v>11798</v>
      </c>
      <c r="M43" s="19" t="s">
        <v>104</v>
      </c>
      <c r="N43" s="36">
        <v>160</v>
      </c>
      <c r="O43" s="37">
        <v>32</v>
      </c>
      <c r="P43" s="36">
        <v>192</v>
      </c>
      <c r="Q43" s="37">
        <v>16.7</v>
      </c>
      <c r="R43" s="20">
        <v>595</v>
      </c>
      <c r="S43" s="36">
        <v>3.719</v>
      </c>
      <c r="T43" s="36">
        <v>3.099</v>
      </c>
      <c r="U43" s="38">
        <v>84.48</v>
      </c>
      <c r="V43" s="38">
        <v>11</v>
      </c>
      <c r="W43" s="38">
        <v>29.75</v>
      </c>
      <c r="X43" s="38">
        <v>14.88</v>
      </c>
      <c r="Y43" s="38">
        <v>0</v>
      </c>
      <c r="Z43" s="20">
        <v>0</v>
      </c>
      <c r="AA43" s="20">
        <v>140.11</v>
      </c>
      <c r="AB43" s="20">
        <v>454.89</v>
      </c>
      <c r="AC43" s="36">
        <v>2.369</v>
      </c>
      <c r="AD43" s="37">
        <v>76.5</v>
      </c>
      <c r="AE43" s="39" t="s">
        <v>105</v>
      </c>
      <c r="AF43" s="19" t="s">
        <v>128</v>
      </c>
      <c r="AG43" s="40"/>
    </row>
    <row r="44" ht="21" customHeight="1" spans="1:33" x14ac:dyDescent="0.25">
      <c r="A44" s="22" t="s">
        <v>96</v>
      </c>
      <c r="B44" s="22" t="s">
        <v>197</v>
      </c>
      <c r="C44" s="22" t="s">
        <v>197</v>
      </c>
      <c r="D44" s="22"/>
      <c r="E44" s="22" t="s">
        <v>198</v>
      </c>
      <c r="F44" s="22" t="s">
        <v>121</v>
      </c>
      <c r="G44" s="22" t="s">
        <v>132</v>
      </c>
      <c r="H44" s="22" t="s">
        <v>127</v>
      </c>
      <c r="I44" s="22" t="s">
        <v>102</v>
      </c>
      <c r="J44" s="22" t="s">
        <v>103</v>
      </c>
      <c r="K44" s="41">
        <v>26</v>
      </c>
      <c r="L44" s="41">
        <v>7983</v>
      </c>
      <c r="M44" s="22" t="s">
        <v>104</v>
      </c>
      <c r="N44" s="41">
        <v>196</v>
      </c>
      <c r="O44" s="42">
        <v>24</v>
      </c>
      <c r="P44" s="41">
        <v>220</v>
      </c>
      <c r="Q44" s="42">
        <v>10.9</v>
      </c>
      <c r="R44" s="23">
        <v>800</v>
      </c>
      <c r="S44" s="41">
        <v>4.082</v>
      </c>
      <c r="T44" s="41">
        <v>3.636</v>
      </c>
      <c r="U44" s="43">
        <v>96.8</v>
      </c>
      <c r="V44" s="43">
        <v>16</v>
      </c>
      <c r="W44" s="43">
        <v>40</v>
      </c>
      <c r="X44" s="43">
        <v>20</v>
      </c>
      <c r="Y44" s="43">
        <v>0</v>
      </c>
      <c r="Z44" s="23">
        <v>0</v>
      </c>
      <c r="AA44" s="23">
        <v>172.8</v>
      </c>
      <c r="AB44" s="23">
        <v>627.2</v>
      </c>
      <c r="AC44" s="41">
        <v>2.851</v>
      </c>
      <c r="AD44" s="42">
        <v>78.4</v>
      </c>
      <c r="AE44" s="39" t="s">
        <v>105</v>
      </c>
      <c r="AF44" s="22" t="s">
        <v>128</v>
      </c>
      <c r="AG44" s="44"/>
    </row>
    <row r="45" ht="21" customHeight="1" spans="1:33" x14ac:dyDescent="0.25">
      <c r="A45" s="19" t="s">
        <v>96</v>
      </c>
      <c r="B45" s="19" t="s">
        <v>199</v>
      </c>
      <c r="C45" s="19" t="s">
        <v>199</v>
      </c>
      <c r="D45" s="19"/>
      <c r="E45" s="19" t="s">
        <v>200</v>
      </c>
      <c r="F45" s="19" t="s">
        <v>99</v>
      </c>
      <c r="G45" s="19" t="s">
        <v>132</v>
      </c>
      <c r="H45" s="19" t="s">
        <v>143</v>
      </c>
      <c r="I45" s="19" t="s">
        <v>102</v>
      </c>
      <c r="J45" s="19" t="s">
        <v>103</v>
      </c>
      <c r="K45" s="36">
        <v>26</v>
      </c>
      <c r="L45" s="36">
        <v>8086</v>
      </c>
      <c r="M45" s="19" t="s">
        <v>104</v>
      </c>
      <c r="N45" s="36">
        <v>239</v>
      </c>
      <c r="O45" s="37">
        <v>43</v>
      </c>
      <c r="P45" s="36">
        <v>282</v>
      </c>
      <c r="Q45" s="37">
        <v>15.2</v>
      </c>
      <c r="R45" s="20">
        <v>955</v>
      </c>
      <c r="S45" s="36">
        <v>3.996</v>
      </c>
      <c r="T45" s="36">
        <v>3.387</v>
      </c>
      <c r="U45" s="38">
        <v>124.08</v>
      </c>
      <c r="V45" s="38">
        <v>14</v>
      </c>
      <c r="W45" s="38">
        <v>47.75</v>
      </c>
      <c r="X45" s="38">
        <v>23.88</v>
      </c>
      <c r="Y45" s="38">
        <v>0</v>
      </c>
      <c r="Z45" s="20">
        <v>0</v>
      </c>
      <c r="AA45" s="20">
        <v>209.71</v>
      </c>
      <c r="AB45" s="20">
        <v>745.29</v>
      </c>
      <c r="AC45" s="36">
        <v>2.643</v>
      </c>
      <c r="AD45" s="37">
        <v>78</v>
      </c>
      <c r="AE45" s="39" t="s">
        <v>105</v>
      </c>
      <c r="AF45" s="19" t="s">
        <v>128</v>
      </c>
      <c r="AG45" s="40"/>
    </row>
    <row r="46" ht="21" customHeight="1" spans="1:33" x14ac:dyDescent="0.25">
      <c r="A46" s="22" t="s">
        <v>96</v>
      </c>
      <c r="B46" s="22" t="s">
        <v>201</v>
      </c>
      <c r="C46" s="22" t="s">
        <v>201</v>
      </c>
      <c r="D46" s="22"/>
      <c r="E46" s="22" t="s">
        <v>202</v>
      </c>
      <c r="F46" s="22" t="s">
        <v>121</v>
      </c>
      <c r="G46" s="22" t="s">
        <v>127</v>
      </c>
      <c r="H46" s="22" t="s">
        <v>111</v>
      </c>
      <c r="I46" s="22" t="s">
        <v>102</v>
      </c>
      <c r="J46" s="22" t="s">
        <v>103</v>
      </c>
      <c r="K46" s="41">
        <v>26</v>
      </c>
      <c r="L46" s="41">
        <v>7986</v>
      </c>
      <c r="M46" s="22" t="s">
        <v>104</v>
      </c>
      <c r="N46" s="41">
        <v>79</v>
      </c>
      <c r="O46" s="42">
        <v>13</v>
      </c>
      <c r="P46" s="41">
        <v>92</v>
      </c>
      <c r="Q46" s="42">
        <v>14.1</v>
      </c>
      <c r="R46" s="23">
        <v>370</v>
      </c>
      <c r="S46" s="41">
        <v>4.684</v>
      </c>
      <c r="T46" s="41">
        <v>4.022</v>
      </c>
      <c r="U46" s="43">
        <v>40.48</v>
      </c>
      <c r="V46" s="43">
        <v>0</v>
      </c>
      <c r="W46" s="43">
        <v>18.5</v>
      </c>
      <c r="X46" s="43">
        <v>9.25</v>
      </c>
      <c r="Y46" s="43">
        <v>0</v>
      </c>
      <c r="Z46" s="23">
        <v>0</v>
      </c>
      <c r="AA46" s="23">
        <v>68.23</v>
      </c>
      <c r="AB46" s="23">
        <v>301.77</v>
      </c>
      <c r="AC46" s="41">
        <v>3.28</v>
      </c>
      <c r="AD46" s="42">
        <v>81.6</v>
      </c>
      <c r="AE46" s="39" t="s">
        <v>105</v>
      </c>
      <c r="AF46" s="22" t="s">
        <v>128</v>
      </c>
      <c r="AG46" s="44"/>
    </row>
    <row r="47" ht="21" customHeight="1" spans="1:33" x14ac:dyDescent="0.25">
      <c r="A47" s="19" t="s">
        <v>96</v>
      </c>
      <c r="B47" s="19" t="s">
        <v>203</v>
      </c>
      <c r="C47" s="19" t="s">
        <v>203</v>
      </c>
      <c r="D47" s="19"/>
      <c r="E47" s="19" t="s">
        <v>204</v>
      </c>
      <c r="F47" s="19" t="s">
        <v>110</v>
      </c>
      <c r="G47" s="19" t="s">
        <v>100</v>
      </c>
      <c r="H47" s="19" t="s">
        <v>140</v>
      </c>
      <c r="I47" s="19" t="s">
        <v>102</v>
      </c>
      <c r="J47" s="19" t="s">
        <v>103</v>
      </c>
      <c r="K47" s="36">
        <v>26</v>
      </c>
      <c r="L47" s="36">
        <v>10763</v>
      </c>
      <c r="M47" s="19" t="s">
        <v>104</v>
      </c>
      <c r="N47" s="36">
        <v>42</v>
      </c>
      <c r="O47" s="37">
        <v>5</v>
      </c>
      <c r="P47" s="36">
        <v>47</v>
      </c>
      <c r="Q47" s="37">
        <v>10.6</v>
      </c>
      <c r="R47" s="20">
        <v>165</v>
      </c>
      <c r="S47" s="36">
        <v>3.929</v>
      </c>
      <c r="T47" s="36">
        <v>3.511</v>
      </c>
      <c r="U47" s="38">
        <v>20.68</v>
      </c>
      <c r="V47" s="38">
        <v>0</v>
      </c>
      <c r="W47" s="38">
        <v>8.25</v>
      </c>
      <c r="X47" s="38">
        <v>4.13</v>
      </c>
      <c r="Y47" s="38">
        <v>0</v>
      </c>
      <c r="Z47" s="20">
        <v>0</v>
      </c>
      <c r="AA47" s="20">
        <v>33.06</v>
      </c>
      <c r="AB47" s="20">
        <v>131.94</v>
      </c>
      <c r="AC47" s="36">
        <v>2.807</v>
      </c>
      <c r="AD47" s="37">
        <v>80</v>
      </c>
      <c r="AE47" s="39" t="s">
        <v>105</v>
      </c>
      <c r="AF47" s="19" t="s">
        <v>128</v>
      </c>
      <c r="AG47" s="40"/>
    </row>
    <row r="48" ht="21" customHeight="1" spans="1:33" x14ac:dyDescent="0.25">
      <c r="A48" s="22" t="s">
        <v>96</v>
      </c>
      <c r="B48" s="22" t="s">
        <v>205</v>
      </c>
      <c r="C48" s="22" t="s">
        <v>205</v>
      </c>
      <c r="D48" s="22"/>
      <c r="E48" s="22" t="s">
        <v>206</v>
      </c>
      <c r="F48" s="22" t="s">
        <v>99</v>
      </c>
      <c r="G48" s="22" t="s">
        <v>111</v>
      </c>
      <c r="H48" s="22" t="s">
        <v>132</v>
      </c>
      <c r="I48" s="22" t="s">
        <v>102</v>
      </c>
      <c r="J48" s="22" t="s">
        <v>103</v>
      </c>
      <c r="K48" s="41">
        <v>26</v>
      </c>
      <c r="L48" s="41">
        <v>6635</v>
      </c>
      <c r="M48" s="22" t="s">
        <v>104</v>
      </c>
      <c r="N48" s="41">
        <v>162</v>
      </c>
      <c r="O48" s="42">
        <v>16</v>
      </c>
      <c r="P48" s="41">
        <v>178</v>
      </c>
      <c r="Q48" s="42">
        <v>9</v>
      </c>
      <c r="R48" s="23">
        <v>635</v>
      </c>
      <c r="S48" s="41">
        <v>3.92</v>
      </c>
      <c r="T48" s="41">
        <v>3.567</v>
      </c>
      <c r="U48" s="43">
        <v>78.32</v>
      </c>
      <c r="V48" s="43">
        <v>1</v>
      </c>
      <c r="W48" s="43">
        <v>31.75</v>
      </c>
      <c r="X48" s="43">
        <v>15.88</v>
      </c>
      <c r="Y48" s="43">
        <v>0</v>
      </c>
      <c r="Z48" s="23">
        <v>0</v>
      </c>
      <c r="AA48" s="23">
        <v>126.95</v>
      </c>
      <c r="AB48" s="23">
        <v>508.05</v>
      </c>
      <c r="AC48" s="41">
        <v>2.854</v>
      </c>
      <c r="AD48" s="42">
        <v>80</v>
      </c>
      <c r="AE48" s="39" t="s">
        <v>105</v>
      </c>
      <c r="AF48" s="22" t="s">
        <v>128</v>
      </c>
      <c r="AG48" s="44"/>
    </row>
    <row r="49" ht="21" customHeight="1" spans="1:33" x14ac:dyDescent="0.25">
      <c r="A49" s="19" t="s">
        <v>96</v>
      </c>
      <c r="B49" s="19" t="s">
        <v>207</v>
      </c>
      <c r="C49" s="19" t="s">
        <v>207</v>
      </c>
      <c r="D49" s="19"/>
      <c r="E49" s="19" t="s">
        <v>208</v>
      </c>
      <c r="F49" s="19" t="s">
        <v>99</v>
      </c>
      <c r="G49" s="19" t="s">
        <v>101</v>
      </c>
      <c r="H49" s="19" t="s">
        <v>116</v>
      </c>
      <c r="I49" s="19" t="s">
        <v>102</v>
      </c>
      <c r="J49" s="19" t="s">
        <v>103</v>
      </c>
      <c r="K49" s="36">
        <v>26</v>
      </c>
      <c r="L49" s="36">
        <v>11358</v>
      </c>
      <c r="M49" s="19" t="s">
        <v>104</v>
      </c>
      <c r="N49" s="36">
        <v>169</v>
      </c>
      <c r="O49" s="37">
        <v>20</v>
      </c>
      <c r="P49" s="36">
        <v>189</v>
      </c>
      <c r="Q49" s="37">
        <v>10.6</v>
      </c>
      <c r="R49" s="20">
        <v>675</v>
      </c>
      <c r="S49" s="36">
        <v>3.994</v>
      </c>
      <c r="T49" s="36">
        <v>3.571</v>
      </c>
      <c r="U49" s="38">
        <v>83.16</v>
      </c>
      <c r="V49" s="38">
        <v>20</v>
      </c>
      <c r="W49" s="38">
        <v>33.75</v>
      </c>
      <c r="X49" s="38">
        <v>16.88</v>
      </c>
      <c r="Y49" s="38">
        <v>0</v>
      </c>
      <c r="Z49" s="20">
        <v>0</v>
      </c>
      <c r="AA49" s="20">
        <v>153.79</v>
      </c>
      <c r="AB49" s="20">
        <v>521.21</v>
      </c>
      <c r="AC49" s="36">
        <v>2.758</v>
      </c>
      <c r="AD49" s="37">
        <v>77.2</v>
      </c>
      <c r="AE49" s="39" t="s">
        <v>105</v>
      </c>
      <c r="AF49" s="19" t="s">
        <v>128</v>
      </c>
      <c r="AG49" s="40"/>
    </row>
    <row r="50" ht="21" customHeight="1" spans="1:33" x14ac:dyDescent="0.25">
      <c r="A50" s="22" t="s">
        <v>96</v>
      </c>
      <c r="B50" s="22" t="s">
        <v>209</v>
      </c>
      <c r="C50" s="22" t="s">
        <v>209</v>
      </c>
      <c r="D50" s="22"/>
      <c r="E50" s="22" t="s">
        <v>210</v>
      </c>
      <c r="F50" s="22" t="s">
        <v>99</v>
      </c>
      <c r="G50" s="22" t="s">
        <v>101</v>
      </c>
      <c r="H50" s="22" t="s">
        <v>116</v>
      </c>
      <c r="I50" s="22" t="s">
        <v>102</v>
      </c>
      <c r="J50" s="22" t="s">
        <v>103</v>
      </c>
      <c r="K50" s="41">
        <v>26</v>
      </c>
      <c r="L50" s="41">
        <v>9540</v>
      </c>
      <c r="M50" s="22" t="s">
        <v>104</v>
      </c>
      <c r="N50" s="41">
        <v>161</v>
      </c>
      <c r="O50" s="42">
        <v>24</v>
      </c>
      <c r="P50" s="41">
        <v>185</v>
      </c>
      <c r="Q50" s="42">
        <v>13</v>
      </c>
      <c r="R50" s="23">
        <v>630</v>
      </c>
      <c r="S50" s="41">
        <v>3.913</v>
      </c>
      <c r="T50" s="41">
        <v>3.405</v>
      </c>
      <c r="U50" s="43">
        <v>81.4</v>
      </c>
      <c r="V50" s="43">
        <v>0</v>
      </c>
      <c r="W50" s="43">
        <v>31.5</v>
      </c>
      <c r="X50" s="43">
        <v>15.75</v>
      </c>
      <c r="Y50" s="43">
        <v>0</v>
      </c>
      <c r="Z50" s="23">
        <v>0</v>
      </c>
      <c r="AA50" s="23">
        <v>128.65</v>
      </c>
      <c r="AB50" s="23">
        <v>501.35</v>
      </c>
      <c r="AC50" s="41">
        <v>2.71</v>
      </c>
      <c r="AD50" s="42">
        <v>79.6</v>
      </c>
      <c r="AE50" s="39" t="s">
        <v>105</v>
      </c>
      <c r="AF50" s="22" t="s">
        <v>128</v>
      </c>
      <c r="AG50" s="44"/>
    </row>
    <row r="51" ht="21" customHeight="1" spans="1:33" x14ac:dyDescent="0.25">
      <c r="A51" s="19" t="s">
        <v>96</v>
      </c>
      <c r="B51" s="19" t="s">
        <v>211</v>
      </c>
      <c r="C51" s="19" t="s">
        <v>211</v>
      </c>
      <c r="D51" s="19"/>
      <c r="E51" s="19" t="s">
        <v>212</v>
      </c>
      <c r="F51" s="19" t="s">
        <v>126</v>
      </c>
      <c r="G51" s="19" t="s">
        <v>143</v>
      </c>
      <c r="H51" s="19" t="s">
        <v>136</v>
      </c>
      <c r="I51" s="19" t="s">
        <v>102</v>
      </c>
      <c r="J51" s="19" t="s">
        <v>103</v>
      </c>
      <c r="K51" s="36">
        <v>26</v>
      </c>
      <c r="L51" s="36">
        <v>9860</v>
      </c>
      <c r="M51" s="19" t="s">
        <v>104</v>
      </c>
      <c r="N51" s="36">
        <v>178</v>
      </c>
      <c r="O51" s="37">
        <v>35</v>
      </c>
      <c r="P51" s="36">
        <v>213</v>
      </c>
      <c r="Q51" s="37">
        <v>16.4</v>
      </c>
      <c r="R51" s="20">
        <v>705</v>
      </c>
      <c r="S51" s="36">
        <v>3.961</v>
      </c>
      <c r="T51" s="36">
        <v>3.31</v>
      </c>
      <c r="U51" s="38">
        <v>93.72</v>
      </c>
      <c r="V51" s="38">
        <v>0</v>
      </c>
      <c r="W51" s="38">
        <v>35.25</v>
      </c>
      <c r="X51" s="38">
        <v>17.63</v>
      </c>
      <c r="Y51" s="38">
        <v>0</v>
      </c>
      <c r="Z51" s="20">
        <v>0</v>
      </c>
      <c r="AA51" s="20">
        <v>146.6</v>
      </c>
      <c r="AB51" s="20">
        <v>558.4</v>
      </c>
      <c r="AC51" s="36">
        <v>2.622</v>
      </c>
      <c r="AD51" s="37">
        <v>79.2</v>
      </c>
      <c r="AE51" s="39" t="s">
        <v>105</v>
      </c>
      <c r="AF51" s="19" t="s">
        <v>128</v>
      </c>
      <c r="AG51" s="40"/>
    </row>
    <row r="52" ht="21" customHeight="1" spans="1:33" x14ac:dyDescent="0.25">
      <c r="A52" s="22" t="s">
        <v>96</v>
      </c>
      <c r="B52" s="22" t="s">
        <v>213</v>
      </c>
      <c r="C52" s="22" t="s">
        <v>213</v>
      </c>
      <c r="D52" s="22"/>
      <c r="E52" s="22" t="s">
        <v>214</v>
      </c>
      <c r="F52" s="22" t="s">
        <v>131</v>
      </c>
      <c r="G52" s="22" t="s">
        <v>127</v>
      </c>
      <c r="H52" s="22" t="s">
        <v>101</v>
      </c>
      <c r="I52" s="22" t="s">
        <v>102</v>
      </c>
      <c r="J52" s="22" t="s">
        <v>103</v>
      </c>
      <c r="K52" s="41">
        <v>26</v>
      </c>
      <c r="L52" s="41">
        <v>11326</v>
      </c>
      <c r="M52" s="22" t="s">
        <v>104</v>
      </c>
      <c r="N52" s="41">
        <v>124</v>
      </c>
      <c r="O52" s="42">
        <v>32</v>
      </c>
      <c r="P52" s="41">
        <v>156</v>
      </c>
      <c r="Q52" s="42">
        <v>20.5</v>
      </c>
      <c r="R52" s="23">
        <v>465</v>
      </c>
      <c r="S52" s="41">
        <v>3.75</v>
      </c>
      <c r="T52" s="41">
        <v>2.981</v>
      </c>
      <c r="U52" s="43">
        <v>68.64</v>
      </c>
      <c r="V52" s="43">
        <v>16</v>
      </c>
      <c r="W52" s="43">
        <v>23.25</v>
      </c>
      <c r="X52" s="43">
        <v>11.63</v>
      </c>
      <c r="Y52" s="43">
        <v>0</v>
      </c>
      <c r="Z52" s="23">
        <v>0</v>
      </c>
      <c r="AA52" s="23">
        <v>119.52</v>
      </c>
      <c r="AB52" s="23">
        <v>345.48</v>
      </c>
      <c r="AC52" s="41">
        <v>2.215</v>
      </c>
      <c r="AD52" s="42">
        <v>74.3</v>
      </c>
      <c r="AE52" s="39" t="s">
        <v>105</v>
      </c>
      <c r="AF52" s="22" t="s">
        <v>128</v>
      </c>
      <c r="AG52" s="44"/>
    </row>
    <row r="53" ht="21" customHeight="1" spans="1:33" x14ac:dyDescent="0.25">
      <c r="A53" s="19" t="s">
        <v>96</v>
      </c>
      <c r="B53" s="19" t="s">
        <v>215</v>
      </c>
      <c r="C53" s="19" t="s">
        <v>215</v>
      </c>
      <c r="D53" s="19"/>
      <c r="E53" s="19" t="s">
        <v>216</v>
      </c>
      <c r="F53" s="19" t="s">
        <v>135</v>
      </c>
      <c r="G53" s="19" t="s">
        <v>111</v>
      </c>
      <c r="H53" s="19" t="s">
        <v>132</v>
      </c>
      <c r="I53" s="19" t="s">
        <v>102</v>
      </c>
      <c r="J53" s="19" t="s">
        <v>103</v>
      </c>
      <c r="K53" s="36">
        <v>26</v>
      </c>
      <c r="L53" s="36">
        <v>7777</v>
      </c>
      <c r="M53" s="19" t="s">
        <v>104</v>
      </c>
      <c r="N53" s="36">
        <v>158</v>
      </c>
      <c r="O53" s="37">
        <v>24</v>
      </c>
      <c r="P53" s="36">
        <v>182</v>
      </c>
      <c r="Q53" s="37">
        <v>13.2</v>
      </c>
      <c r="R53" s="20">
        <v>685</v>
      </c>
      <c r="S53" s="36">
        <v>4.335</v>
      </c>
      <c r="T53" s="36">
        <v>3.764</v>
      </c>
      <c r="U53" s="38">
        <v>80.08</v>
      </c>
      <c r="V53" s="38">
        <v>0</v>
      </c>
      <c r="W53" s="38">
        <v>34.25</v>
      </c>
      <c r="X53" s="38">
        <v>17.13</v>
      </c>
      <c r="Y53" s="38">
        <v>1</v>
      </c>
      <c r="Z53" s="20">
        <v>0</v>
      </c>
      <c r="AA53" s="20">
        <v>132.46</v>
      </c>
      <c r="AB53" s="20">
        <v>552.54</v>
      </c>
      <c r="AC53" s="36">
        <v>3.036</v>
      </c>
      <c r="AD53" s="37">
        <v>80.7</v>
      </c>
      <c r="AE53" s="39" t="s">
        <v>105</v>
      </c>
      <c r="AF53" s="19" t="s">
        <v>128</v>
      </c>
      <c r="AG53" s="40"/>
    </row>
    <row r="54" ht="21" customHeight="1" spans="1:33" x14ac:dyDescent="0.25">
      <c r="A54" s="22" t="s">
        <v>96</v>
      </c>
      <c r="B54" s="22" t="s">
        <v>217</v>
      </c>
      <c r="C54" s="22" t="s">
        <v>217</v>
      </c>
      <c r="D54" s="22"/>
      <c r="E54" s="22" t="s">
        <v>218</v>
      </c>
      <c r="F54" s="22" t="s">
        <v>115</v>
      </c>
      <c r="G54" s="22" t="s">
        <v>116</v>
      </c>
      <c r="H54" s="22" t="s">
        <v>127</v>
      </c>
      <c r="I54" s="22" t="s">
        <v>102</v>
      </c>
      <c r="J54" s="22" t="s">
        <v>103</v>
      </c>
      <c r="K54" s="41">
        <v>26</v>
      </c>
      <c r="L54" s="41">
        <v>7688</v>
      </c>
      <c r="M54" s="22" t="s">
        <v>104</v>
      </c>
      <c r="N54" s="41">
        <v>156</v>
      </c>
      <c r="O54" s="42">
        <v>18</v>
      </c>
      <c r="P54" s="41">
        <v>174</v>
      </c>
      <c r="Q54" s="42">
        <v>10.3</v>
      </c>
      <c r="R54" s="23">
        <v>645</v>
      </c>
      <c r="S54" s="41">
        <v>4.135</v>
      </c>
      <c r="T54" s="41">
        <v>3.707</v>
      </c>
      <c r="U54" s="43">
        <v>76.56</v>
      </c>
      <c r="V54" s="43">
        <v>0</v>
      </c>
      <c r="W54" s="43">
        <v>32.25</v>
      </c>
      <c r="X54" s="43">
        <v>16.13</v>
      </c>
      <c r="Y54" s="43">
        <v>0</v>
      </c>
      <c r="Z54" s="23">
        <v>0</v>
      </c>
      <c r="AA54" s="23">
        <v>124.94</v>
      </c>
      <c r="AB54" s="23">
        <v>520.06</v>
      </c>
      <c r="AC54" s="41">
        <v>2.989</v>
      </c>
      <c r="AD54" s="42">
        <v>80.6</v>
      </c>
      <c r="AE54" s="39" t="s">
        <v>105</v>
      </c>
      <c r="AF54" s="22" t="s">
        <v>128</v>
      </c>
      <c r="AG54" s="44"/>
    </row>
    <row r="55" ht="21" customHeight="1" spans="1:33" x14ac:dyDescent="0.25">
      <c r="A55" s="19" t="s">
        <v>96</v>
      </c>
      <c r="B55" s="19" t="s">
        <v>219</v>
      </c>
      <c r="C55" s="19" t="s">
        <v>219</v>
      </c>
      <c r="D55" s="19"/>
      <c r="E55" s="19" t="s">
        <v>220</v>
      </c>
      <c r="F55" s="19" t="s">
        <v>110</v>
      </c>
      <c r="G55" s="19" t="s">
        <v>132</v>
      </c>
      <c r="H55" s="19" t="s">
        <v>143</v>
      </c>
      <c r="I55" s="19" t="s">
        <v>102</v>
      </c>
      <c r="J55" s="19" t="s">
        <v>103</v>
      </c>
      <c r="K55" s="36">
        <v>26</v>
      </c>
      <c r="L55" s="36">
        <v>10654</v>
      </c>
      <c r="M55" s="19" t="s">
        <v>104</v>
      </c>
      <c r="N55" s="36">
        <v>241</v>
      </c>
      <c r="O55" s="37">
        <v>26</v>
      </c>
      <c r="P55" s="36">
        <v>267</v>
      </c>
      <c r="Q55" s="37">
        <v>9.7</v>
      </c>
      <c r="R55" s="20">
        <v>970</v>
      </c>
      <c r="S55" s="36">
        <v>4.025</v>
      </c>
      <c r="T55" s="36">
        <v>3.633</v>
      </c>
      <c r="U55" s="38">
        <v>117.48</v>
      </c>
      <c r="V55" s="38">
        <v>30</v>
      </c>
      <c r="W55" s="38">
        <v>48.5</v>
      </c>
      <c r="X55" s="38">
        <v>24.25</v>
      </c>
      <c r="Y55" s="38">
        <v>0</v>
      </c>
      <c r="Z55" s="20">
        <v>0</v>
      </c>
      <c r="AA55" s="20">
        <v>220.23</v>
      </c>
      <c r="AB55" s="20">
        <v>749.77</v>
      </c>
      <c r="AC55" s="36">
        <v>2.808</v>
      </c>
      <c r="AD55" s="37">
        <v>77.3</v>
      </c>
      <c r="AE55" s="39" t="s">
        <v>105</v>
      </c>
      <c r="AF55" s="19" t="s">
        <v>128</v>
      </c>
      <c r="AG55" s="40"/>
    </row>
    <row r="56" ht="21" customHeight="1" spans="1:33" x14ac:dyDescent="0.25">
      <c r="A56" s="22" t="s">
        <v>96</v>
      </c>
      <c r="B56" s="22" t="s">
        <v>221</v>
      </c>
      <c r="C56" s="22" t="s">
        <v>221</v>
      </c>
      <c r="D56" s="22"/>
      <c r="E56" s="22" t="s">
        <v>222</v>
      </c>
      <c r="F56" s="22" t="s">
        <v>99</v>
      </c>
      <c r="G56" s="22" t="s">
        <v>116</v>
      </c>
      <c r="H56" s="22" t="s">
        <v>127</v>
      </c>
      <c r="I56" s="22" t="s">
        <v>102</v>
      </c>
      <c r="J56" s="22" t="s">
        <v>103</v>
      </c>
      <c r="K56" s="41">
        <v>26</v>
      </c>
      <c r="L56" s="41">
        <v>9329</v>
      </c>
      <c r="M56" s="22" t="s">
        <v>104</v>
      </c>
      <c r="N56" s="41">
        <v>147</v>
      </c>
      <c r="O56" s="42">
        <v>21</v>
      </c>
      <c r="P56" s="41">
        <v>168</v>
      </c>
      <c r="Q56" s="42">
        <v>12.5</v>
      </c>
      <c r="R56" s="23">
        <v>535</v>
      </c>
      <c r="S56" s="41">
        <v>3.639</v>
      </c>
      <c r="T56" s="41">
        <v>3.185</v>
      </c>
      <c r="U56" s="43">
        <v>73.92</v>
      </c>
      <c r="V56" s="43">
        <v>17</v>
      </c>
      <c r="W56" s="43">
        <v>26.75</v>
      </c>
      <c r="X56" s="43">
        <v>13.38</v>
      </c>
      <c r="Y56" s="43">
        <v>0</v>
      </c>
      <c r="Z56" s="23">
        <v>0</v>
      </c>
      <c r="AA56" s="23">
        <v>131.05</v>
      </c>
      <c r="AB56" s="23">
        <v>403.95</v>
      </c>
      <c r="AC56" s="41">
        <v>2.404</v>
      </c>
      <c r="AD56" s="42">
        <v>75.5</v>
      </c>
      <c r="AE56" s="39" t="s">
        <v>105</v>
      </c>
      <c r="AF56" s="22" t="s">
        <v>128</v>
      </c>
      <c r="AG56" s="44"/>
    </row>
    <row r="57" ht="21" customHeight="1" spans="1:33" x14ac:dyDescent="0.25">
      <c r="A57" s="19" t="s">
        <v>96</v>
      </c>
      <c r="B57" s="19" t="s">
        <v>223</v>
      </c>
      <c r="C57" s="19" t="s">
        <v>223</v>
      </c>
      <c r="D57" s="19"/>
      <c r="E57" s="19" t="s">
        <v>224</v>
      </c>
      <c r="F57" s="19" t="s">
        <v>135</v>
      </c>
      <c r="G57" s="19" t="s">
        <v>100</v>
      </c>
      <c r="H57" s="19" t="s">
        <v>140</v>
      </c>
      <c r="I57" s="19" t="s">
        <v>102</v>
      </c>
      <c r="J57" s="19" t="s">
        <v>103</v>
      </c>
      <c r="K57" s="36">
        <v>26</v>
      </c>
      <c r="L57" s="36">
        <v>9873</v>
      </c>
      <c r="M57" s="19" t="s">
        <v>104</v>
      </c>
      <c r="N57" s="36">
        <v>39</v>
      </c>
      <c r="O57" s="37">
        <v>6</v>
      </c>
      <c r="P57" s="36">
        <v>45</v>
      </c>
      <c r="Q57" s="37">
        <v>13.3</v>
      </c>
      <c r="R57" s="20">
        <v>165</v>
      </c>
      <c r="S57" s="36">
        <v>4.231</v>
      </c>
      <c r="T57" s="36">
        <v>3.667</v>
      </c>
      <c r="U57" s="38">
        <v>19.8</v>
      </c>
      <c r="V57" s="38">
        <v>0</v>
      </c>
      <c r="W57" s="38">
        <v>8.25</v>
      </c>
      <c r="X57" s="38">
        <v>4.13</v>
      </c>
      <c r="Y57" s="38">
        <v>0</v>
      </c>
      <c r="Z57" s="20">
        <v>0</v>
      </c>
      <c r="AA57" s="20">
        <v>32.18</v>
      </c>
      <c r="AB57" s="20">
        <v>132.82</v>
      </c>
      <c r="AC57" s="36">
        <v>2.952</v>
      </c>
      <c r="AD57" s="37">
        <v>80.5</v>
      </c>
      <c r="AE57" s="39" t="s">
        <v>105</v>
      </c>
      <c r="AF57" s="19" t="s">
        <v>128</v>
      </c>
      <c r="AG57" s="40"/>
    </row>
    <row r="58" ht="21" customHeight="1" spans="1:33" x14ac:dyDescent="0.25">
      <c r="A58" s="22" t="s">
        <v>96</v>
      </c>
      <c r="B58" s="22" t="s">
        <v>225</v>
      </c>
      <c r="C58" s="22" t="s">
        <v>225</v>
      </c>
      <c r="D58" s="22"/>
      <c r="E58" s="22" t="s">
        <v>226</v>
      </c>
      <c r="F58" s="22" t="s">
        <v>121</v>
      </c>
      <c r="G58" s="22" t="s">
        <v>111</v>
      </c>
      <c r="H58" s="22" t="s">
        <v>132</v>
      </c>
      <c r="I58" s="22" t="s">
        <v>102</v>
      </c>
      <c r="J58" s="22" t="s">
        <v>103</v>
      </c>
      <c r="K58" s="41">
        <v>26</v>
      </c>
      <c r="L58" s="41">
        <v>8472</v>
      </c>
      <c r="M58" s="22" t="s">
        <v>104</v>
      </c>
      <c r="N58" s="41">
        <v>173</v>
      </c>
      <c r="O58" s="42">
        <v>40</v>
      </c>
      <c r="P58" s="41">
        <v>213</v>
      </c>
      <c r="Q58" s="42">
        <v>18.8</v>
      </c>
      <c r="R58" s="23">
        <v>680</v>
      </c>
      <c r="S58" s="41">
        <v>3.931</v>
      </c>
      <c r="T58" s="41">
        <v>3.192</v>
      </c>
      <c r="U58" s="43">
        <v>93.72</v>
      </c>
      <c r="V58" s="43">
        <v>0</v>
      </c>
      <c r="W58" s="43">
        <v>34</v>
      </c>
      <c r="X58" s="43">
        <v>17</v>
      </c>
      <c r="Y58" s="43">
        <v>0</v>
      </c>
      <c r="Z58" s="23">
        <v>0</v>
      </c>
      <c r="AA58" s="23">
        <v>144.72</v>
      </c>
      <c r="AB58" s="23">
        <v>535.28</v>
      </c>
      <c r="AC58" s="41">
        <v>2.513</v>
      </c>
      <c r="AD58" s="42">
        <v>78.7</v>
      </c>
      <c r="AE58" s="39" t="s">
        <v>105</v>
      </c>
      <c r="AF58" s="22" t="s">
        <v>128</v>
      </c>
      <c r="AG58" s="44"/>
    </row>
    <row r="59" ht="21" customHeight="1" spans="1:33" x14ac:dyDescent="0.25">
      <c r="A59" s="19" t="s">
        <v>96</v>
      </c>
      <c r="B59" s="19" t="s">
        <v>227</v>
      </c>
      <c r="C59" s="19" t="s">
        <v>227</v>
      </c>
      <c r="D59" s="19"/>
      <c r="E59" s="19" t="s">
        <v>228</v>
      </c>
      <c r="F59" s="19" t="s">
        <v>131</v>
      </c>
      <c r="G59" s="19" t="s">
        <v>127</v>
      </c>
      <c r="H59" s="19" t="s">
        <v>101</v>
      </c>
      <c r="I59" s="19" t="s">
        <v>102</v>
      </c>
      <c r="J59" s="19" t="s">
        <v>103</v>
      </c>
      <c r="K59" s="36">
        <v>26</v>
      </c>
      <c r="L59" s="36">
        <v>7143</v>
      </c>
      <c r="M59" s="19" t="s">
        <v>104</v>
      </c>
      <c r="N59" s="36">
        <v>113</v>
      </c>
      <c r="O59" s="37">
        <v>18</v>
      </c>
      <c r="P59" s="36">
        <v>131</v>
      </c>
      <c r="Q59" s="37">
        <v>13.7</v>
      </c>
      <c r="R59" s="20">
        <v>480</v>
      </c>
      <c r="S59" s="36">
        <v>4.248</v>
      </c>
      <c r="T59" s="36">
        <v>3.664</v>
      </c>
      <c r="U59" s="38">
        <v>57.64</v>
      </c>
      <c r="V59" s="38">
        <v>2</v>
      </c>
      <c r="W59" s="38">
        <v>24</v>
      </c>
      <c r="X59" s="38">
        <v>12</v>
      </c>
      <c r="Y59" s="38">
        <v>0</v>
      </c>
      <c r="Z59" s="20">
        <v>0</v>
      </c>
      <c r="AA59" s="20">
        <v>95.64</v>
      </c>
      <c r="AB59" s="20">
        <v>384.36</v>
      </c>
      <c r="AC59" s="36">
        <v>2.934</v>
      </c>
      <c r="AD59" s="37">
        <v>80.1</v>
      </c>
      <c r="AE59" s="39" t="s">
        <v>105</v>
      </c>
      <c r="AF59" s="19" t="s">
        <v>128</v>
      </c>
      <c r="AG59" s="40"/>
    </row>
    <row r="60" ht="21" customHeight="1" spans="1:33" x14ac:dyDescent="0.25">
      <c r="A60" s="22" t="s">
        <v>96</v>
      </c>
      <c r="B60" s="22" t="s">
        <v>229</v>
      </c>
      <c r="C60" s="22" t="s">
        <v>229</v>
      </c>
      <c r="D60" s="22"/>
      <c r="E60" s="22" t="s">
        <v>230</v>
      </c>
      <c r="F60" s="22" t="s">
        <v>121</v>
      </c>
      <c r="G60" s="22" t="s">
        <v>143</v>
      </c>
      <c r="H60" s="22" t="s">
        <v>136</v>
      </c>
      <c r="I60" s="22" t="s">
        <v>102</v>
      </c>
      <c r="J60" s="22" t="s">
        <v>103</v>
      </c>
      <c r="K60" s="41">
        <v>26</v>
      </c>
      <c r="L60" s="41">
        <v>11208</v>
      </c>
      <c r="M60" s="22" t="s">
        <v>104</v>
      </c>
      <c r="N60" s="41">
        <v>175</v>
      </c>
      <c r="O60" s="42">
        <v>23</v>
      </c>
      <c r="P60" s="41">
        <v>198</v>
      </c>
      <c r="Q60" s="42">
        <v>11.6</v>
      </c>
      <c r="R60" s="23">
        <v>815</v>
      </c>
      <c r="S60" s="41">
        <v>4.657</v>
      </c>
      <c r="T60" s="41">
        <v>4.116</v>
      </c>
      <c r="U60" s="43">
        <v>87.12</v>
      </c>
      <c r="V60" s="43">
        <v>36</v>
      </c>
      <c r="W60" s="43">
        <v>40.75</v>
      </c>
      <c r="X60" s="43">
        <v>20.38</v>
      </c>
      <c r="Y60" s="43">
        <v>4</v>
      </c>
      <c r="Z60" s="23">
        <v>0</v>
      </c>
      <c r="AA60" s="23">
        <v>188.25</v>
      </c>
      <c r="AB60" s="23">
        <v>626.75</v>
      </c>
      <c r="AC60" s="41">
        <v>3.165</v>
      </c>
      <c r="AD60" s="42">
        <v>76.9</v>
      </c>
      <c r="AE60" s="39" t="s">
        <v>105</v>
      </c>
      <c r="AF60" s="22" t="s">
        <v>128</v>
      </c>
      <c r="AG60" s="44"/>
    </row>
    <row r="61" ht="21" customHeight="1" spans="1:33" x14ac:dyDescent="0.25">
      <c r="A61" s="19" t="s">
        <v>96</v>
      </c>
      <c r="B61" s="19" t="s">
        <v>231</v>
      </c>
      <c r="C61" s="19" t="s">
        <v>231</v>
      </c>
      <c r="D61" s="19"/>
      <c r="E61" s="19" t="s">
        <v>232</v>
      </c>
      <c r="F61" s="19" t="s">
        <v>99</v>
      </c>
      <c r="G61" s="19" t="s">
        <v>140</v>
      </c>
      <c r="H61" s="19" t="s">
        <v>136</v>
      </c>
      <c r="I61" s="19" t="s">
        <v>102</v>
      </c>
      <c r="J61" s="19" t="s">
        <v>103</v>
      </c>
      <c r="K61" s="36">
        <v>26</v>
      </c>
      <c r="L61" s="36">
        <v>8128</v>
      </c>
      <c r="M61" s="19" t="s">
        <v>104</v>
      </c>
      <c r="N61" s="36">
        <v>145</v>
      </c>
      <c r="O61" s="37">
        <v>34</v>
      </c>
      <c r="P61" s="36">
        <v>179</v>
      </c>
      <c r="Q61" s="37">
        <v>19</v>
      </c>
      <c r="R61" s="20">
        <v>650</v>
      </c>
      <c r="S61" s="36">
        <v>4.483</v>
      </c>
      <c r="T61" s="36">
        <v>3.631</v>
      </c>
      <c r="U61" s="38">
        <v>78.76</v>
      </c>
      <c r="V61" s="38">
        <v>7</v>
      </c>
      <c r="W61" s="38">
        <v>32.5</v>
      </c>
      <c r="X61" s="38">
        <v>16.25</v>
      </c>
      <c r="Y61" s="38">
        <v>0</v>
      </c>
      <c r="Z61" s="20">
        <v>0</v>
      </c>
      <c r="AA61" s="20">
        <v>134.51</v>
      </c>
      <c r="AB61" s="20">
        <v>515.49</v>
      </c>
      <c r="AC61" s="36">
        <v>2.88</v>
      </c>
      <c r="AD61" s="37">
        <v>79.3</v>
      </c>
      <c r="AE61" s="39" t="s">
        <v>105</v>
      </c>
      <c r="AF61" s="19" t="s">
        <v>128</v>
      </c>
      <c r="AG61" s="40"/>
    </row>
    <row r="62" ht="21" customHeight="1" spans="1:33" x14ac:dyDescent="0.25">
      <c r="A62" s="22" t="s">
        <v>96</v>
      </c>
      <c r="B62" s="22" t="s">
        <v>233</v>
      </c>
      <c r="C62" s="22" t="s">
        <v>233</v>
      </c>
      <c r="D62" s="22"/>
      <c r="E62" s="22" t="s">
        <v>234</v>
      </c>
      <c r="F62" s="22" t="s">
        <v>126</v>
      </c>
      <c r="G62" s="22" t="s">
        <v>122</v>
      </c>
      <c r="H62" s="22" t="s">
        <v>116</v>
      </c>
      <c r="I62" s="22" t="s">
        <v>102</v>
      </c>
      <c r="J62" s="22" t="s">
        <v>103</v>
      </c>
      <c r="K62" s="41">
        <v>26</v>
      </c>
      <c r="L62" s="41">
        <v>7288</v>
      </c>
      <c r="M62" s="22" t="s">
        <v>104</v>
      </c>
      <c r="N62" s="41">
        <v>92</v>
      </c>
      <c r="O62" s="42">
        <v>15</v>
      </c>
      <c r="P62" s="41">
        <v>107</v>
      </c>
      <c r="Q62" s="42">
        <v>14</v>
      </c>
      <c r="R62" s="23">
        <v>380</v>
      </c>
      <c r="S62" s="41">
        <v>4.13</v>
      </c>
      <c r="T62" s="41">
        <v>3.551</v>
      </c>
      <c r="U62" s="43">
        <v>47.08</v>
      </c>
      <c r="V62" s="43">
        <v>29</v>
      </c>
      <c r="W62" s="43">
        <v>19</v>
      </c>
      <c r="X62" s="43">
        <v>9.5</v>
      </c>
      <c r="Y62" s="43">
        <v>0</v>
      </c>
      <c r="Z62" s="23">
        <v>0</v>
      </c>
      <c r="AA62" s="23">
        <v>104.58</v>
      </c>
      <c r="AB62" s="23">
        <v>275.42</v>
      </c>
      <c r="AC62" s="41">
        <v>2.574</v>
      </c>
      <c r="AD62" s="42">
        <v>72.5</v>
      </c>
      <c r="AE62" s="39" t="s">
        <v>105</v>
      </c>
      <c r="AF62" s="22" t="s">
        <v>128</v>
      </c>
      <c r="AG62" s="44"/>
    </row>
    <row r="63" ht="21" customHeight="1" spans="1:33" x14ac:dyDescent="0.25">
      <c r="A63" s="19" t="s">
        <v>96</v>
      </c>
      <c r="B63" s="19" t="s">
        <v>235</v>
      </c>
      <c r="C63" s="19" t="s">
        <v>235</v>
      </c>
      <c r="D63" s="19"/>
      <c r="E63" s="19" t="s">
        <v>236</v>
      </c>
      <c r="F63" s="19" t="s">
        <v>99</v>
      </c>
      <c r="G63" s="19" t="s">
        <v>116</v>
      </c>
      <c r="H63" s="19" t="s">
        <v>127</v>
      </c>
      <c r="I63" s="19" t="s">
        <v>102</v>
      </c>
      <c r="J63" s="19" t="s">
        <v>103</v>
      </c>
      <c r="K63" s="36">
        <v>26</v>
      </c>
      <c r="L63" s="36">
        <v>8445</v>
      </c>
      <c r="M63" s="19" t="s">
        <v>104</v>
      </c>
      <c r="N63" s="36">
        <v>149</v>
      </c>
      <c r="O63" s="37">
        <v>14</v>
      </c>
      <c r="P63" s="36">
        <v>163</v>
      </c>
      <c r="Q63" s="37">
        <v>8.6</v>
      </c>
      <c r="R63" s="20">
        <v>560</v>
      </c>
      <c r="S63" s="36">
        <v>3.758</v>
      </c>
      <c r="T63" s="36">
        <v>3.436</v>
      </c>
      <c r="U63" s="38">
        <v>71.72</v>
      </c>
      <c r="V63" s="38">
        <v>0</v>
      </c>
      <c r="W63" s="38">
        <v>28</v>
      </c>
      <c r="X63" s="38">
        <v>14</v>
      </c>
      <c r="Y63" s="38">
        <v>0</v>
      </c>
      <c r="Z63" s="20">
        <v>0</v>
      </c>
      <c r="AA63" s="20">
        <v>113.72</v>
      </c>
      <c r="AB63" s="20">
        <v>446.28</v>
      </c>
      <c r="AC63" s="36">
        <v>2.738</v>
      </c>
      <c r="AD63" s="37">
        <v>79.7</v>
      </c>
      <c r="AE63" s="39" t="s">
        <v>105</v>
      </c>
      <c r="AF63" s="19" t="s">
        <v>128</v>
      </c>
      <c r="AG63" s="40"/>
    </row>
    <row r="64" ht="21" customHeight="1" spans="1:33" x14ac:dyDescent="0.25">
      <c r="A64" s="22" t="s">
        <v>96</v>
      </c>
      <c r="B64" s="22" t="s">
        <v>237</v>
      </c>
      <c r="C64" s="22" t="s">
        <v>237</v>
      </c>
      <c r="D64" s="22"/>
      <c r="E64" s="22" t="s">
        <v>238</v>
      </c>
      <c r="F64" s="22" t="s">
        <v>99</v>
      </c>
      <c r="G64" s="22" t="s">
        <v>127</v>
      </c>
      <c r="H64" s="22" t="s">
        <v>111</v>
      </c>
      <c r="I64" s="22" t="s">
        <v>102</v>
      </c>
      <c r="J64" s="22" t="s">
        <v>103</v>
      </c>
      <c r="K64" s="41">
        <v>26</v>
      </c>
      <c r="L64" s="41">
        <v>10711</v>
      </c>
      <c r="M64" s="22" t="s">
        <v>104</v>
      </c>
      <c r="N64" s="41">
        <v>88</v>
      </c>
      <c r="O64" s="42">
        <v>19</v>
      </c>
      <c r="P64" s="41">
        <v>107</v>
      </c>
      <c r="Q64" s="42">
        <v>17.8</v>
      </c>
      <c r="R64" s="23">
        <v>410</v>
      </c>
      <c r="S64" s="41">
        <v>4.659</v>
      </c>
      <c r="T64" s="41">
        <v>3.832</v>
      </c>
      <c r="U64" s="43">
        <v>47.08</v>
      </c>
      <c r="V64" s="43">
        <v>0</v>
      </c>
      <c r="W64" s="43">
        <v>20.5</v>
      </c>
      <c r="X64" s="43">
        <v>10.25</v>
      </c>
      <c r="Y64" s="43">
        <v>0</v>
      </c>
      <c r="Z64" s="23">
        <v>0</v>
      </c>
      <c r="AA64" s="23">
        <v>77.83</v>
      </c>
      <c r="AB64" s="23">
        <v>332.17</v>
      </c>
      <c r="AC64" s="41">
        <v>3.104</v>
      </c>
      <c r="AD64" s="42">
        <v>81</v>
      </c>
      <c r="AE64" s="39" t="s">
        <v>105</v>
      </c>
      <c r="AF64" s="22" t="s">
        <v>128</v>
      </c>
      <c r="AG64" s="44"/>
    </row>
    <row r="65" ht="21" customHeight="1" spans="1:33" x14ac:dyDescent="0.25">
      <c r="A65" s="19" t="s">
        <v>96</v>
      </c>
      <c r="B65" s="19" t="s">
        <v>239</v>
      </c>
      <c r="C65" s="19" t="s">
        <v>239</v>
      </c>
      <c r="D65" s="19"/>
      <c r="E65" s="19" t="s">
        <v>240</v>
      </c>
      <c r="F65" s="19" t="s">
        <v>99</v>
      </c>
      <c r="G65" s="19" t="s">
        <v>122</v>
      </c>
      <c r="H65" s="19" t="s">
        <v>116</v>
      </c>
      <c r="I65" s="19" t="s">
        <v>102</v>
      </c>
      <c r="J65" s="19" t="s">
        <v>103</v>
      </c>
      <c r="K65" s="36">
        <v>26</v>
      </c>
      <c r="L65" s="36">
        <v>9639</v>
      </c>
      <c r="M65" s="19" t="s">
        <v>104</v>
      </c>
      <c r="N65" s="36">
        <v>93</v>
      </c>
      <c r="O65" s="37">
        <v>21</v>
      </c>
      <c r="P65" s="36">
        <v>114</v>
      </c>
      <c r="Q65" s="37">
        <v>18.4</v>
      </c>
      <c r="R65" s="20">
        <v>360</v>
      </c>
      <c r="S65" s="36">
        <v>3.871</v>
      </c>
      <c r="T65" s="36">
        <v>3.158</v>
      </c>
      <c r="U65" s="38">
        <v>50.16</v>
      </c>
      <c r="V65" s="38">
        <v>0</v>
      </c>
      <c r="W65" s="38">
        <v>18</v>
      </c>
      <c r="X65" s="38">
        <v>9</v>
      </c>
      <c r="Y65" s="38">
        <v>0</v>
      </c>
      <c r="Z65" s="20">
        <v>0</v>
      </c>
      <c r="AA65" s="20">
        <v>77.16</v>
      </c>
      <c r="AB65" s="20">
        <v>282.84</v>
      </c>
      <c r="AC65" s="36">
        <v>2.481</v>
      </c>
      <c r="AD65" s="37">
        <v>78.6</v>
      </c>
      <c r="AE65" s="39" t="s">
        <v>105</v>
      </c>
      <c r="AF65" s="19" t="s">
        <v>128</v>
      </c>
      <c r="AG65" s="40"/>
    </row>
    <row r="66" ht="21" customHeight="1" spans="1:33" x14ac:dyDescent="0.25">
      <c r="A66" s="22" t="s">
        <v>96</v>
      </c>
      <c r="B66" s="22" t="s">
        <v>241</v>
      </c>
      <c r="C66" s="22" t="s">
        <v>241</v>
      </c>
      <c r="D66" s="22"/>
      <c r="E66" s="22" t="s">
        <v>242</v>
      </c>
      <c r="F66" s="22" t="s">
        <v>121</v>
      </c>
      <c r="G66" s="22" t="s">
        <v>143</v>
      </c>
      <c r="H66" s="22" t="s">
        <v>136</v>
      </c>
      <c r="I66" s="22" t="s">
        <v>102</v>
      </c>
      <c r="J66" s="22" t="s">
        <v>103</v>
      </c>
      <c r="K66" s="41">
        <v>26</v>
      </c>
      <c r="L66" s="41">
        <v>10354</v>
      </c>
      <c r="M66" s="22" t="s">
        <v>104</v>
      </c>
      <c r="N66" s="41">
        <v>168</v>
      </c>
      <c r="O66" s="42">
        <v>21</v>
      </c>
      <c r="P66" s="41">
        <v>189</v>
      </c>
      <c r="Q66" s="42">
        <v>11.1</v>
      </c>
      <c r="R66" s="23">
        <v>780</v>
      </c>
      <c r="S66" s="41">
        <v>4.643</v>
      </c>
      <c r="T66" s="41">
        <v>4.127</v>
      </c>
      <c r="U66" s="43">
        <v>83.16</v>
      </c>
      <c r="V66" s="43">
        <v>0</v>
      </c>
      <c r="W66" s="43">
        <v>39</v>
      </c>
      <c r="X66" s="43">
        <v>19.5</v>
      </c>
      <c r="Y66" s="43">
        <v>0</v>
      </c>
      <c r="Z66" s="23">
        <v>0</v>
      </c>
      <c r="AA66" s="23">
        <v>141.66</v>
      </c>
      <c r="AB66" s="23">
        <v>638.34</v>
      </c>
      <c r="AC66" s="41">
        <v>3.377</v>
      </c>
      <c r="AD66" s="42">
        <v>81.8</v>
      </c>
      <c r="AE66" s="39" t="s">
        <v>105</v>
      </c>
      <c r="AF66" s="22" t="s">
        <v>128</v>
      </c>
      <c r="AG66" s="44"/>
    </row>
    <row r="67" ht="21" customHeight="1" spans="1:33" x14ac:dyDescent="0.25">
      <c r="A67" s="19" t="s">
        <v>96</v>
      </c>
      <c r="B67" s="19" t="s">
        <v>243</v>
      </c>
      <c r="C67" s="19" t="s">
        <v>243</v>
      </c>
      <c r="D67" s="19"/>
      <c r="E67" s="19" t="s">
        <v>244</v>
      </c>
      <c r="F67" s="19" t="s">
        <v>99</v>
      </c>
      <c r="G67" s="19" t="s">
        <v>140</v>
      </c>
      <c r="H67" s="19" t="s">
        <v>136</v>
      </c>
      <c r="I67" s="19" t="s">
        <v>102</v>
      </c>
      <c r="J67" s="19" t="s">
        <v>103</v>
      </c>
      <c r="K67" s="36">
        <v>26</v>
      </c>
      <c r="L67" s="36">
        <v>7457</v>
      </c>
      <c r="M67" s="19" t="s">
        <v>104</v>
      </c>
      <c r="N67" s="36">
        <v>153</v>
      </c>
      <c r="O67" s="37">
        <v>19</v>
      </c>
      <c r="P67" s="36">
        <v>172</v>
      </c>
      <c r="Q67" s="37">
        <v>11</v>
      </c>
      <c r="R67" s="20">
        <v>690</v>
      </c>
      <c r="S67" s="36">
        <v>4.51</v>
      </c>
      <c r="T67" s="36">
        <v>4.012</v>
      </c>
      <c r="U67" s="38">
        <v>75.68</v>
      </c>
      <c r="V67" s="38">
        <v>0</v>
      </c>
      <c r="W67" s="38">
        <v>34.5</v>
      </c>
      <c r="X67" s="38">
        <v>17.25</v>
      </c>
      <c r="Y67" s="38">
        <v>0</v>
      </c>
      <c r="Z67" s="20">
        <v>0</v>
      </c>
      <c r="AA67" s="20">
        <v>127.43</v>
      </c>
      <c r="AB67" s="20">
        <v>562.57</v>
      </c>
      <c r="AC67" s="36">
        <v>3.271</v>
      </c>
      <c r="AD67" s="37">
        <v>81.5</v>
      </c>
      <c r="AE67" s="39" t="s">
        <v>105</v>
      </c>
      <c r="AF67" s="19" t="s">
        <v>128</v>
      </c>
      <c r="AG67" s="40"/>
    </row>
    <row r="68" ht="21" customHeight="1" spans="1:33" x14ac:dyDescent="0.25">
      <c r="A68" s="22" t="s">
        <v>96</v>
      </c>
      <c r="B68" s="22" t="s">
        <v>245</v>
      </c>
      <c r="C68" s="22" t="s">
        <v>245</v>
      </c>
      <c r="D68" s="22"/>
      <c r="E68" s="22" t="s">
        <v>246</v>
      </c>
      <c r="F68" s="22" t="s">
        <v>99</v>
      </c>
      <c r="G68" s="22" t="s">
        <v>122</v>
      </c>
      <c r="H68" s="22" t="s">
        <v>116</v>
      </c>
      <c r="I68" s="22" t="s">
        <v>102</v>
      </c>
      <c r="J68" s="22" t="s">
        <v>103</v>
      </c>
      <c r="K68" s="41">
        <v>26</v>
      </c>
      <c r="L68" s="41">
        <v>8225</v>
      </c>
      <c r="M68" s="22" t="s">
        <v>104</v>
      </c>
      <c r="N68" s="41">
        <v>89</v>
      </c>
      <c r="O68" s="42">
        <v>8</v>
      </c>
      <c r="P68" s="41">
        <v>97</v>
      </c>
      <c r="Q68" s="42">
        <v>8.2</v>
      </c>
      <c r="R68" s="23">
        <v>350</v>
      </c>
      <c r="S68" s="41">
        <v>3.933</v>
      </c>
      <c r="T68" s="41">
        <v>3.608</v>
      </c>
      <c r="U68" s="43">
        <v>42.68</v>
      </c>
      <c r="V68" s="43">
        <v>13</v>
      </c>
      <c r="W68" s="43">
        <v>17.5</v>
      </c>
      <c r="X68" s="43">
        <v>8.75</v>
      </c>
      <c r="Y68" s="43">
        <v>0</v>
      </c>
      <c r="Z68" s="23">
        <v>0</v>
      </c>
      <c r="AA68" s="23">
        <v>81.93</v>
      </c>
      <c r="AB68" s="23">
        <v>268.07</v>
      </c>
      <c r="AC68" s="41">
        <v>2.764</v>
      </c>
      <c r="AD68" s="42">
        <v>76.6</v>
      </c>
      <c r="AE68" s="39" t="s">
        <v>105</v>
      </c>
      <c r="AF68" s="22" t="s">
        <v>128</v>
      </c>
      <c r="AG68" s="44"/>
    </row>
    <row r="69" ht="21" customHeight="1" spans="1:33" x14ac:dyDescent="0.25">
      <c r="A69" s="19" t="s">
        <v>96</v>
      </c>
      <c r="B69" s="19" t="s">
        <v>247</v>
      </c>
      <c r="C69" s="19" t="s">
        <v>247</v>
      </c>
      <c r="D69" s="19"/>
      <c r="E69" s="19" t="s">
        <v>248</v>
      </c>
      <c r="F69" s="19" t="s">
        <v>126</v>
      </c>
      <c r="G69" s="19" t="s">
        <v>111</v>
      </c>
      <c r="H69" s="19" t="s">
        <v>132</v>
      </c>
      <c r="I69" s="19" t="s">
        <v>102</v>
      </c>
      <c r="J69" s="19" t="s">
        <v>103</v>
      </c>
      <c r="K69" s="36">
        <v>26</v>
      </c>
      <c r="L69" s="36">
        <v>9867</v>
      </c>
      <c r="M69" s="19" t="s">
        <v>104</v>
      </c>
      <c r="N69" s="36">
        <v>164</v>
      </c>
      <c r="O69" s="37">
        <v>42</v>
      </c>
      <c r="P69" s="36">
        <v>206</v>
      </c>
      <c r="Q69" s="37">
        <v>20.4</v>
      </c>
      <c r="R69" s="20">
        <v>755</v>
      </c>
      <c r="S69" s="36">
        <v>4.604</v>
      </c>
      <c r="T69" s="36">
        <v>3.665</v>
      </c>
      <c r="U69" s="38">
        <v>90.64</v>
      </c>
      <c r="V69" s="38">
        <v>0</v>
      </c>
      <c r="W69" s="38">
        <v>37.75</v>
      </c>
      <c r="X69" s="38">
        <v>18.88</v>
      </c>
      <c r="Y69" s="38">
        <v>0</v>
      </c>
      <c r="Z69" s="20">
        <v>0</v>
      </c>
      <c r="AA69" s="20">
        <v>147.27</v>
      </c>
      <c r="AB69" s="20">
        <v>607.73</v>
      </c>
      <c r="AC69" s="36">
        <v>2.95</v>
      </c>
      <c r="AD69" s="37">
        <v>80.5</v>
      </c>
      <c r="AE69" s="39" t="s">
        <v>105</v>
      </c>
      <c r="AF69" s="19" t="s">
        <v>128</v>
      </c>
      <c r="AG69" s="40"/>
    </row>
    <row r="70" ht="21" customHeight="1" spans="1:33" x14ac:dyDescent="0.25">
      <c r="A70" s="22" t="s">
        <v>96</v>
      </c>
      <c r="B70" s="22" t="s">
        <v>249</v>
      </c>
      <c r="C70" s="22" t="s">
        <v>249</v>
      </c>
      <c r="D70" s="22"/>
      <c r="E70" s="22" t="s">
        <v>250</v>
      </c>
      <c r="F70" s="22" t="s">
        <v>131</v>
      </c>
      <c r="G70" s="22" t="s">
        <v>132</v>
      </c>
      <c r="H70" s="22" t="s">
        <v>127</v>
      </c>
      <c r="I70" s="22" t="s">
        <v>102</v>
      </c>
      <c r="J70" s="22" t="s">
        <v>103</v>
      </c>
      <c r="K70" s="41">
        <v>26</v>
      </c>
      <c r="L70" s="41">
        <v>7191</v>
      </c>
      <c r="M70" s="22" t="s">
        <v>104</v>
      </c>
      <c r="N70" s="41">
        <v>183</v>
      </c>
      <c r="O70" s="42">
        <v>31</v>
      </c>
      <c r="P70" s="41">
        <v>214</v>
      </c>
      <c r="Q70" s="42">
        <v>14.5</v>
      </c>
      <c r="R70" s="23">
        <v>725</v>
      </c>
      <c r="S70" s="41">
        <v>3.962</v>
      </c>
      <c r="T70" s="41">
        <v>3.388</v>
      </c>
      <c r="U70" s="43">
        <v>94.16</v>
      </c>
      <c r="V70" s="43">
        <v>33</v>
      </c>
      <c r="W70" s="43">
        <v>36.25</v>
      </c>
      <c r="X70" s="43">
        <v>18.13</v>
      </c>
      <c r="Y70" s="43">
        <v>0</v>
      </c>
      <c r="Z70" s="23">
        <v>0</v>
      </c>
      <c r="AA70" s="23">
        <v>181.54</v>
      </c>
      <c r="AB70" s="23">
        <v>543.46</v>
      </c>
      <c r="AC70" s="41">
        <v>2.54</v>
      </c>
      <c r="AD70" s="42">
        <v>75</v>
      </c>
      <c r="AE70" s="39" t="s">
        <v>105</v>
      </c>
      <c r="AF70" s="22" t="s">
        <v>128</v>
      </c>
      <c r="AG70" s="44"/>
    </row>
    <row r="71" ht="21" customHeight="1" spans="1:33" x14ac:dyDescent="0.25">
      <c r="A71" s="19" t="s">
        <v>96</v>
      </c>
      <c r="B71" s="19" t="s">
        <v>251</v>
      </c>
      <c r="C71" s="19" t="s">
        <v>251</v>
      </c>
      <c r="D71" s="19"/>
      <c r="E71" s="19" t="s">
        <v>252</v>
      </c>
      <c r="F71" s="19" t="s">
        <v>126</v>
      </c>
      <c r="G71" s="19" t="s">
        <v>101</v>
      </c>
      <c r="H71" s="19" t="s">
        <v>116</v>
      </c>
      <c r="I71" s="19" t="s">
        <v>102</v>
      </c>
      <c r="J71" s="19" t="s">
        <v>103</v>
      </c>
      <c r="K71" s="36">
        <v>26</v>
      </c>
      <c r="L71" s="36">
        <v>8021</v>
      </c>
      <c r="M71" s="19" t="s">
        <v>104</v>
      </c>
      <c r="N71" s="36">
        <v>165</v>
      </c>
      <c r="O71" s="37">
        <v>16</v>
      </c>
      <c r="P71" s="36">
        <v>181</v>
      </c>
      <c r="Q71" s="37">
        <v>8.8</v>
      </c>
      <c r="R71" s="20">
        <v>740</v>
      </c>
      <c r="S71" s="36">
        <v>4.485</v>
      </c>
      <c r="T71" s="36">
        <v>4.088</v>
      </c>
      <c r="U71" s="38">
        <v>79.64</v>
      </c>
      <c r="V71" s="38">
        <v>24</v>
      </c>
      <c r="W71" s="38">
        <v>37</v>
      </c>
      <c r="X71" s="38">
        <v>18.5</v>
      </c>
      <c r="Y71" s="38">
        <v>0</v>
      </c>
      <c r="Z71" s="20">
        <v>0</v>
      </c>
      <c r="AA71" s="20">
        <v>159.14</v>
      </c>
      <c r="AB71" s="20">
        <v>580.86</v>
      </c>
      <c r="AC71" s="36">
        <v>3.209</v>
      </c>
      <c r="AD71" s="37">
        <v>78.5</v>
      </c>
      <c r="AE71" s="39" t="s">
        <v>105</v>
      </c>
      <c r="AF71" s="19" t="s">
        <v>128</v>
      </c>
      <c r="AG71" s="40"/>
    </row>
    <row r="72" ht="21" customHeight="1" spans="1:33" x14ac:dyDescent="0.25">
      <c r="A72" s="22" t="s">
        <v>96</v>
      </c>
      <c r="B72" s="22" t="s">
        <v>253</v>
      </c>
      <c r="C72" s="22" t="s">
        <v>253</v>
      </c>
      <c r="D72" s="22"/>
      <c r="E72" s="22" t="s">
        <v>254</v>
      </c>
      <c r="F72" s="22" t="s">
        <v>110</v>
      </c>
      <c r="G72" s="22" t="s">
        <v>132</v>
      </c>
      <c r="H72" s="22" t="s">
        <v>143</v>
      </c>
      <c r="I72" s="22" t="s">
        <v>102</v>
      </c>
      <c r="J72" s="22" t="s">
        <v>103</v>
      </c>
      <c r="K72" s="41">
        <v>26</v>
      </c>
      <c r="L72" s="41">
        <v>6874</v>
      </c>
      <c r="M72" s="22" t="s">
        <v>104</v>
      </c>
      <c r="N72" s="41">
        <v>233</v>
      </c>
      <c r="O72" s="42">
        <v>55</v>
      </c>
      <c r="P72" s="41">
        <v>288</v>
      </c>
      <c r="Q72" s="42">
        <v>19.1</v>
      </c>
      <c r="R72" s="23">
        <v>890</v>
      </c>
      <c r="S72" s="41">
        <v>3.82</v>
      </c>
      <c r="T72" s="41">
        <v>3.09</v>
      </c>
      <c r="U72" s="43">
        <v>126.72</v>
      </c>
      <c r="V72" s="43">
        <v>9</v>
      </c>
      <c r="W72" s="43">
        <v>44.5</v>
      </c>
      <c r="X72" s="43">
        <v>22.25</v>
      </c>
      <c r="Y72" s="43">
        <v>0</v>
      </c>
      <c r="Z72" s="23">
        <v>0</v>
      </c>
      <c r="AA72" s="23">
        <v>202.47</v>
      </c>
      <c r="AB72" s="23">
        <v>687.53</v>
      </c>
      <c r="AC72" s="41">
        <v>2.387</v>
      </c>
      <c r="AD72" s="42">
        <v>77.3</v>
      </c>
      <c r="AE72" s="39" t="s">
        <v>105</v>
      </c>
      <c r="AF72" s="22" t="s">
        <v>128</v>
      </c>
      <c r="AG72" s="44"/>
    </row>
    <row r="73" ht="21" customHeight="1" spans="1:33" x14ac:dyDescent="0.25">
      <c r="A73" s="19" t="s">
        <v>96</v>
      </c>
      <c r="B73" s="19" t="s">
        <v>255</v>
      </c>
      <c r="C73" s="19" t="s">
        <v>255</v>
      </c>
      <c r="D73" s="19"/>
      <c r="E73" s="19" t="s">
        <v>256</v>
      </c>
      <c r="F73" s="19" t="s">
        <v>131</v>
      </c>
      <c r="G73" s="19" t="s">
        <v>101</v>
      </c>
      <c r="H73" s="19" t="s">
        <v>116</v>
      </c>
      <c r="I73" s="19" t="s">
        <v>102</v>
      </c>
      <c r="J73" s="19" t="s">
        <v>103</v>
      </c>
      <c r="K73" s="36">
        <v>26</v>
      </c>
      <c r="L73" s="36">
        <v>6921</v>
      </c>
      <c r="M73" s="19" t="s">
        <v>104</v>
      </c>
      <c r="N73" s="36">
        <v>163</v>
      </c>
      <c r="O73" s="37">
        <v>15</v>
      </c>
      <c r="P73" s="36">
        <v>178</v>
      </c>
      <c r="Q73" s="37">
        <v>8.4</v>
      </c>
      <c r="R73" s="20">
        <v>680</v>
      </c>
      <c r="S73" s="36">
        <v>4.172</v>
      </c>
      <c r="T73" s="36">
        <v>3.82</v>
      </c>
      <c r="U73" s="38">
        <v>78.32</v>
      </c>
      <c r="V73" s="38">
        <v>0</v>
      </c>
      <c r="W73" s="38">
        <v>34</v>
      </c>
      <c r="X73" s="38">
        <v>17</v>
      </c>
      <c r="Y73" s="38">
        <v>0</v>
      </c>
      <c r="Z73" s="20">
        <v>0</v>
      </c>
      <c r="AA73" s="20">
        <v>129.32</v>
      </c>
      <c r="AB73" s="20">
        <v>550.68</v>
      </c>
      <c r="AC73" s="36">
        <v>3.094</v>
      </c>
      <c r="AD73" s="37">
        <v>81</v>
      </c>
      <c r="AE73" s="39" t="s">
        <v>105</v>
      </c>
      <c r="AF73" s="19" t="s">
        <v>128</v>
      </c>
      <c r="AG73" s="40"/>
    </row>
    <row r="74" ht="21" customHeight="1" spans="1:33" x14ac:dyDescent="0.25">
      <c r="A74" s="22" t="s">
        <v>96</v>
      </c>
      <c r="B74" s="22" t="s">
        <v>257</v>
      </c>
      <c r="C74" s="22" t="s">
        <v>257</v>
      </c>
      <c r="D74" s="22"/>
      <c r="E74" s="22" t="s">
        <v>258</v>
      </c>
      <c r="F74" s="22" t="s">
        <v>121</v>
      </c>
      <c r="G74" s="22" t="s">
        <v>101</v>
      </c>
      <c r="H74" s="22" t="s">
        <v>116</v>
      </c>
      <c r="I74" s="22" t="s">
        <v>102</v>
      </c>
      <c r="J74" s="22" t="s">
        <v>103</v>
      </c>
      <c r="K74" s="41">
        <v>26</v>
      </c>
      <c r="L74" s="41">
        <v>6215</v>
      </c>
      <c r="M74" s="22" t="s">
        <v>104</v>
      </c>
      <c r="N74" s="41">
        <v>160</v>
      </c>
      <c r="O74" s="42">
        <v>20</v>
      </c>
      <c r="P74" s="41">
        <v>180</v>
      </c>
      <c r="Q74" s="42">
        <v>11.1</v>
      </c>
      <c r="R74" s="23">
        <v>670</v>
      </c>
      <c r="S74" s="41">
        <v>4.188</v>
      </c>
      <c r="T74" s="41">
        <v>3.722</v>
      </c>
      <c r="U74" s="43">
        <v>79.2</v>
      </c>
      <c r="V74" s="43">
        <v>20</v>
      </c>
      <c r="W74" s="43">
        <v>33.5</v>
      </c>
      <c r="X74" s="43">
        <v>16.75</v>
      </c>
      <c r="Y74" s="43">
        <v>0</v>
      </c>
      <c r="Z74" s="23">
        <v>0</v>
      </c>
      <c r="AA74" s="23">
        <v>149.45</v>
      </c>
      <c r="AB74" s="23">
        <v>520.55</v>
      </c>
      <c r="AC74" s="41">
        <v>2.892</v>
      </c>
      <c r="AD74" s="42">
        <v>77.7</v>
      </c>
      <c r="AE74" s="39" t="s">
        <v>105</v>
      </c>
      <c r="AF74" s="22" t="s">
        <v>128</v>
      </c>
      <c r="AG74" s="44"/>
    </row>
  </sheetData>
  <autoFilter ref="A10:AG10"/>
  <mergeCells count="20">
    <mergeCell ref="A1:AG1"/>
    <mergeCell ref="A2:AG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M9"/>
    <mergeCell ref="N9:Q9"/>
    <mergeCell ref="R9:T9"/>
    <mergeCell ref="U9:AA9"/>
    <mergeCell ref="AB9:AD9"/>
    <mergeCell ref="AE9:AG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3" fitToHeight="0"/>
  <headerFooter>
    <oddHeader>&amp;LLoads - Unit 101 - 2026&amp;ROnRoad Books</oddHeader>
    <oddFooter>Confidential  •  Prepared from the business ledger  | 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4545"/>
    <pageSetUpPr fitToPage="1"/>
  </sheetPr>
  <dimension ref="A1:L9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3" width="24" customWidth="1"/>
    <col min="4" max="4" width="26" customWidth="1"/>
    <col min="5" max="5" width="16" customWidth="1"/>
    <col min="6" max="6" width="34" customWidth="1"/>
    <col min="7" max="7" width="24" customWidth="1"/>
    <col min="8" max="8" width="11" customWidth="1"/>
    <col min="9" max="9" width="16" customWidth="1"/>
    <col min="10" max="10" width="12" customWidth="1"/>
    <col min="11" max="11" width="18" customWidth="1"/>
    <col min="12" max="12" width="32" customWidth="1"/>
  </cols>
  <sheetData>
    <row r="1" ht="38" customHeight="1" spans="1:12" x14ac:dyDescent="0.25">
      <c r="A1" s="31" t="s">
        <v>259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ht="22" customHeight="1" spans="1:12" x14ac:dyDescent="0.25">
      <c r="A2" s="32" t="s">
        <v>52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ht="8" customHeight="1" x14ac:dyDescent="0.25"/>
    <row r="4" ht="26" customHeight="1" spans="1:12" x14ac:dyDescent="0.25">
      <c r="A4" s="47" t="s">
        <v>260</v>
      </c>
      <c r="B4" s="47"/>
      <c r="C4" s="47"/>
      <c r="D4" s="47" t="s">
        <v>261</v>
      </c>
      <c r="E4" s="47"/>
      <c r="F4" s="47"/>
      <c r="G4" s="48" t="s">
        <v>262</v>
      </c>
      <c r="H4" s="48"/>
      <c r="I4" s="48"/>
      <c r="J4" s="5" t="s">
        <v>263</v>
      </c>
      <c r="K4" s="5"/>
      <c r="L4" s="5"/>
    </row>
    <row r="5" ht="22" customHeight="1" spans="1:12" x14ac:dyDescent="0.25">
      <c r="A5" s="49">
        <v>19741.659999999993</v>
      </c>
      <c r="B5" s="49"/>
      <c r="C5" s="49"/>
      <c r="D5" s="49">
        <v>14601.659999999994</v>
      </c>
      <c r="E5" s="49"/>
      <c r="F5" s="49"/>
      <c r="G5" s="50">
        <v>5140</v>
      </c>
      <c r="H5" s="50"/>
      <c r="I5" s="50"/>
      <c r="J5" s="8">
        <v>84</v>
      </c>
      <c r="K5" s="8"/>
      <c r="L5" s="8"/>
    </row>
    <row r="6" ht="22" customHeight="1" spans="1:12" x14ac:dyDescent="0.25">
      <c r="A6" s="49"/>
      <c r="B6" s="49"/>
      <c r="C6" s="49"/>
      <c r="D6" s="49"/>
      <c r="E6" s="49"/>
      <c r="F6" s="49"/>
      <c r="G6" s="50"/>
      <c r="H6" s="50"/>
      <c r="I6" s="50"/>
      <c r="J6" s="8"/>
      <c r="K6" s="8"/>
      <c r="L6" s="8"/>
    </row>
    <row r="7" ht="24" customHeight="1" spans="1:12" x14ac:dyDescent="0.25">
      <c r="A7" s="9" t="s">
        <v>264</v>
      </c>
      <c r="B7" s="9"/>
      <c r="C7" s="9"/>
      <c r="D7" s="9" t="s">
        <v>265</v>
      </c>
      <c r="E7" s="9"/>
      <c r="F7" s="9"/>
      <c r="G7" s="9" t="s">
        <v>266</v>
      </c>
      <c r="H7" s="9"/>
      <c r="I7" s="9"/>
      <c r="J7" s="9" t="s">
        <v>267</v>
      </c>
      <c r="K7" s="9"/>
      <c r="L7" s="9"/>
    </row>
    <row r="8" ht="10" customHeight="1" x14ac:dyDescent="0.25"/>
    <row r="9" ht="22" customHeight="1" spans="1:12" x14ac:dyDescent="0.25">
      <c r="A9" s="33" t="s">
        <v>268</v>
      </c>
      <c r="B9" s="33"/>
      <c r="C9" s="34" t="s">
        <v>269</v>
      </c>
      <c r="D9" s="34"/>
      <c r="E9" s="34"/>
      <c r="F9" s="33" t="s">
        <v>270</v>
      </c>
      <c r="G9" s="33"/>
      <c r="H9" s="33"/>
      <c r="I9" s="34" t="s">
        <v>271</v>
      </c>
      <c r="J9" s="34"/>
      <c r="K9" s="34"/>
      <c r="L9" s="34"/>
    </row>
    <row r="10" ht="32" customHeight="1" spans="1:12" s="35" customFormat="1" x14ac:dyDescent="0.25">
      <c r="A10" s="35" t="s">
        <v>272</v>
      </c>
      <c r="B10" s="35" t="s">
        <v>273</v>
      </c>
      <c r="C10" s="35" t="s">
        <v>26</v>
      </c>
      <c r="D10" s="35" t="s">
        <v>274</v>
      </c>
      <c r="E10" s="35" t="s">
        <v>275</v>
      </c>
      <c r="F10" s="35" t="s">
        <v>276</v>
      </c>
      <c r="G10" s="35" t="s">
        <v>277</v>
      </c>
      <c r="H10" s="35" t="s">
        <v>27</v>
      </c>
      <c r="I10" s="35" t="s">
        <v>278</v>
      </c>
      <c r="J10" s="35" t="s">
        <v>279</v>
      </c>
      <c r="K10" s="35" t="s">
        <v>280</v>
      </c>
      <c r="L10" s="35" t="s">
        <v>95</v>
      </c>
    </row>
    <row r="11" ht="21" customHeight="1" spans="1:12" x14ac:dyDescent="0.25">
      <c r="A11" s="19" t="s">
        <v>96</v>
      </c>
      <c r="B11" s="19" t="s">
        <v>281</v>
      </c>
      <c r="C11" s="19" t="s">
        <v>34</v>
      </c>
      <c r="D11" s="19" t="s">
        <v>282</v>
      </c>
      <c r="E11" s="19" t="s">
        <v>283</v>
      </c>
      <c r="F11" s="19" t="s">
        <v>284</v>
      </c>
      <c r="G11" s="19" t="s">
        <v>135</v>
      </c>
      <c r="H11" s="20">
        <v>103.5</v>
      </c>
      <c r="I11" s="19"/>
      <c r="J11" s="19" t="s">
        <v>285</v>
      </c>
      <c r="K11" s="19"/>
      <c r="L11" s="40"/>
    </row>
    <row r="12" ht="21" customHeight="1" spans="1:12" x14ac:dyDescent="0.25">
      <c r="A12" s="22" t="s">
        <v>96</v>
      </c>
      <c r="B12" s="22" t="s">
        <v>286</v>
      </c>
      <c r="C12" s="22" t="s">
        <v>40</v>
      </c>
      <c r="D12" s="22" t="s">
        <v>282</v>
      </c>
      <c r="E12" s="22" t="s">
        <v>287</v>
      </c>
      <c r="F12" s="22" t="s">
        <v>288</v>
      </c>
      <c r="G12" s="22" t="s">
        <v>289</v>
      </c>
      <c r="H12" s="23">
        <v>165</v>
      </c>
      <c r="I12" s="22"/>
      <c r="J12" s="22" t="s">
        <v>285</v>
      </c>
      <c r="K12" s="22"/>
      <c r="L12" s="44"/>
    </row>
    <row r="13" ht="21" customHeight="1" spans="1:12" x14ac:dyDescent="0.25">
      <c r="A13" s="19" t="s">
        <v>96</v>
      </c>
      <c r="B13" s="19" t="s">
        <v>290</v>
      </c>
      <c r="C13" s="19" t="s">
        <v>37</v>
      </c>
      <c r="D13" s="19" t="s">
        <v>282</v>
      </c>
      <c r="E13" s="19" t="s">
        <v>283</v>
      </c>
      <c r="F13" s="19" t="s">
        <v>291</v>
      </c>
      <c r="G13" s="19" t="s">
        <v>292</v>
      </c>
      <c r="H13" s="20">
        <v>108.14</v>
      </c>
      <c r="I13" s="19"/>
      <c r="J13" s="19" t="s">
        <v>285</v>
      </c>
      <c r="K13" s="19"/>
      <c r="L13" s="40"/>
    </row>
    <row r="14" ht="21" customHeight="1" spans="1:12" x14ac:dyDescent="0.25">
      <c r="A14" s="22" t="s">
        <v>96</v>
      </c>
      <c r="B14" s="22" t="s">
        <v>97</v>
      </c>
      <c r="C14" s="22" t="s">
        <v>29</v>
      </c>
      <c r="D14" s="22" t="s">
        <v>282</v>
      </c>
      <c r="E14" s="22" t="s">
        <v>283</v>
      </c>
      <c r="F14" s="22" t="s">
        <v>293</v>
      </c>
      <c r="G14" s="22" t="s">
        <v>101</v>
      </c>
      <c r="H14" s="23">
        <v>152.44</v>
      </c>
      <c r="I14" s="22"/>
      <c r="J14" s="22" t="s">
        <v>285</v>
      </c>
      <c r="K14" s="22"/>
      <c r="L14" s="44"/>
    </row>
    <row r="15" ht="21" customHeight="1" spans="1:12" x14ac:dyDescent="0.25">
      <c r="A15" s="19" t="s">
        <v>96</v>
      </c>
      <c r="B15" s="19" t="s">
        <v>294</v>
      </c>
      <c r="C15" s="19" t="s">
        <v>42</v>
      </c>
      <c r="D15" s="19" t="s">
        <v>282</v>
      </c>
      <c r="E15" s="19" t="s">
        <v>287</v>
      </c>
      <c r="F15" s="19" t="s">
        <v>295</v>
      </c>
      <c r="G15" s="19" t="s">
        <v>296</v>
      </c>
      <c r="H15" s="20">
        <v>78</v>
      </c>
      <c r="I15" s="19"/>
      <c r="J15" s="19" t="s">
        <v>285</v>
      </c>
      <c r="K15" s="19"/>
      <c r="L15" s="40"/>
    </row>
    <row r="16" ht="21" customHeight="1" spans="1:12" x14ac:dyDescent="0.25">
      <c r="A16" s="22" t="s">
        <v>96</v>
      </c>
      <c r="B16" s="22" t="s">
        <v>113</v>
      </c>
      <c r="C16" s="22" t="s">
        <v>29</v>
      </c>
      <c r="D16" s="22" t="s">
        <v>282</v>
      </c>
      <c r="E16" s="22" t="s">
        <v>283</v>
      </c>
      <c r="F16" s="22" t="s">
        <v>297</v>
      </c>
      <c r="G16" s="22" t="s">
        <v>116</v>
      </c>
      <c r="H16" s="23">
        <v>157.24</v>
      </c>
      <c r="I16" s="22"/>
      <c r="J16" s="22" t="s">
        <v>285</v>
      </c>
      <c r="K16" s="22"/>
      <c r="L16" s="44"/>
    </row>
    <row r="17" ht="21" customHeight="1" spans="1:12" x14ac:dyDescent="0.25">
      <c r="A17" s="19" t="s">
        <v>96</v>
      </c>
      <c r="B17" s="19" t="s">
        <v>119</v>
      </c>
      <c r="C17" s="19" t="s">
        <v>35</v>
      </c>
      <c r="D17" s="19" t="s">
        <v>282</v>
      </c>
      <c r="E17" s="19" t="s">
        <v>283</v>
      </c>
      <c r="F17" s="19" t="s">
        <v>298</v>
      </c>
      <c r="G17" s="19" t="s">
        <v>299</v>
      </c>
      <c r="H17" s="20">
        <v>110</v>
      </c>
      <c r="I17" s="19"/>
      <c r="J17" s="19" t="s">
        <v>285</v>
      </c>
      <c r="K17" s="19"/>
      <c r="L17" s="40"/>
    </row>
    <row r="18" ht="21" customHeight="1" spans="1:12" x14ac:dyDescent="0.25">
      <c r="A18" s="22" t="s">
        <v>96</v>
      </c>
      <c r="B18" s="22" t="s">
        <v>119</v>
      </c>
      <c r="C18" s="22" t="s">
        <v>34</v>
      </c>
      <c r="D18" s="22" t="s">
        <v>282</v>
      </c>
      <c r="E18" s="22" t="s">
        <v>283</v>
      </c>
      <c r="F18" s="22" t="s">
        <v>300</v>
      </c>
      <c r="G18" s="22" t="s">
        <v>135</v>
      </c>
      <c r="H18" s="23">
        <v>112.75</v>
      </c>
      <c r="I18" s="22"/>
      <c r="J18" s="22" t="s">
        <v>285</v>
      </c>
      <c r="K18" s="22"/>
      <c r="L18" s="44"/>
    </row>
    <row r="19" ht="21" customHeight="1" spans="1:12" x14ac:dyDescent="0.25">
      <c r="A19" s="19" t="s">
        <v>96</v>
      </c>
      <c r="B19" s="19" t="s">
        <v>301</v>
      </c>
      <c r="C19" s="19" t="s">
        <v>31</v>
      </c>
      <c r="D19" s="19" t="s">
        <v>282</v>
      </c>
      <c r="E19" s="19" t="s">
        <v>283</v>
      </c>
      <c r="F19" s="19" t="s">
        <v>302</v>
      </c>
      <c r="G19" s="19" t="s">
        <v>303</v>
      </c>
      <c r="H19" s="20">
        <v>195</v>
      </c>
      <c r="I19" s="19"/>
      <c r="J19" s="19" t="s">
        <v>285</v>
      </c>
      <c r="K19" s="19"/>
      <c r="L19" s="40"/>
    </row>
    <row r="20" ht="21" customHeight="1" spans="1:12" x14ac:dyDescent="0.25">
      <c r="A20" s="22" t="s">
        <v>96</v>
      </c>
      <c r="B20" s="22" t="s">
        <v>129</v>
      </c>
      <c r="C20" s="22" t="s">
        <v>29</v>
      </c>
      <c r="D20" s="22" t="s">
        <v>282</v>
      </c>
      <c r="E20" s="22" t="s">
        <v>283</v>
      </c>
      <c r="F20" s="22" t="s">
        <v>304</v>
      </c>
      <c r="G20" s="22" t="s">
        <v>132</v>
      </c>
      <c r="H20" s="23">
        <v>179.13</v>
      </c>
      <c r="I20" s="22"/>
      <c r="J20" s="22" t="s">
        <v>285</v>
      </c>
      <c r="K20" s="22"/>
      <c r="L20" s="44"/>
    </row>
    <row r="21" ht="21" customHeight="1" spans="1:12" x14ac:dyDescent="0.25">
      <c r="A21" s="19" t="s">
        <v>96</v>
      </c>
      <c r="B21" s="19" t="s">
        <v>129</v>
      </c>
      <c r="C21" s="19" t="s">
        <v>38</v>
      </c>
      <c r="D21" s="19" t="s">
        <v>282</v>
      </c>
      <c r="E21" s="19" t="s">
        <v>287</v>
      </c>
      <c r="F21" s="19" t="s">
        <v>305</v>
      </c>
      <c r="G21" s="19" t="s">
        <v>306</v>
      </c>
      <c r="H21" s="20">
        <v>148.32</v>
      </c>
      <c r="I21" s="19"/>
      <c r="J21" s="19" t="s">
        <v>285</v>
      </c>
      <c r="K21" s="19"/>
      <c r="L21" s="40"/>
    </row>
    <row r="22" ht="21" customHeight="1" spans="1:12" x14ac:dyDescent="0.25">
      <c r="A22" s="22" t="s">
        <v>96</v>
      </c>
      <c r="B22" s="22" t="s">
        <v>138</v>
      </c>
      <c r="C22" s="22" t="s">
        <v>36</v>
      </c>
      <c r="D22" s="22" t="s">
        <v>282</v>
      </c>
      <c r="E22" s="22" t="s">
        <v>283</v>
      </c>
      <c r="F22" s="22" t="s">
        <v>307</v>
      </c>
      <c r="G22" s="22" t="s">
        <v>308</v>
      </c>
      <c r="H22" s="23">
        <v>412.8</v>
      </c>
      <c r="I22" s="22"/>
      <c r="J22" s="22" t="s">
        <v>285</v>
      </c>
      <c r="K22" s="22"/>
      <c r="L22" s="44" t="s">
        <v>309</v>
      </c>
    </row>
    <row r="23" ht="21" customHeight="1" spans="1:12" x14ac:dyDescent="0.25">
      <c r="A23" s="19" t="s">
        <v>96</v>
      </c>
      <c r="B23" s="19" t="s">
        <v>141</v>
      </c>
      <c r="C23" s="19" t="s">
        <v>29</v>
      </c>
      <c r="D23" s="19" t="s">
        <v>282</v>
      </c>
      <c r="E23" s="19" t="s">
        <v>283</v>
      </c>
      <c r="F23" s="19" t="s">
        <v>310</v>
      </c>
      <c r="G23" s="19" t="s">
        <v>140</v>
      </c>
      <c r="H23" s="20">
        <v>148.95</v>
      </c>
      <c r="I23" s="19"/>
      <c r="J23" s="19" t="s">
        <v>285</v>
      </c>
      <c r="K23" s="19"/>
      <c r="L23" s="40"/>
    </row>
    <row r="24" ht="21" customHeight="1" spans="1:12" x14ac:dyDescent="0.25">
      <c r="A24" s="22" t="s">
        <v>96</v>
      </c>
      <c r="B24" s="22" t="s">
        <v>141</v>
      </c>
      <c r="C24" s="22" t="s">
        <v>34</v>
      </c>
      <c r="D24" s="22" t="s">
        <v>282</v>
      </c>
      <c r="E24" s="22" t="s">
        <v>283</v>
      </c>
      <c r="F24" s="22" t="s">
        <v>311</v>
      </c>
      <c r="G24" s="22" t="s">
        <v>135</v>
      </c>
      <c r="H24" s="23">
        <v>123.25</v>
      </c>
      <c r="I24" s="22"/>
      <c r="J24" s="22" t="s">
        <v>285</v>
      </c>
      <c r="K24" s="22"/>
      <c r="L24" s="44"/>
    </row>
    <row r="25" ht="21" customHeight="1" spans="1:12" x14ac:dyDescent="0.25">
      <c r="A25" s="19" t="s">
        <v>96</v>
      </c>
      <c r="B25" s="19" t="s">
        <v>312</v>
      </c>
      <c r="C25" s="19" t="s">
        <v>37</v>
      </c>
      <c r="D25" s="19" t="s">
        <v>282</v>
      </c>
      <c r="E25" s="19" t="s">
        <v>283</v>
      </c>
      <c r="F25" s="19" t="s">
        <v>313</v>
      </c>
      <c r="G25" s="19" t="s">
        <v>292</v>
      </c>
      <c r="H25" s="20">
        <v>136.75</v>
      </c>
      <c r="I25" s="19"/>
      <c r="J25" s="19" t="s">
        <v>285</v>
      </c>
      <c r="K25" s="19"/>
      <c r="L25" s="40"/>
    </row>
    <row r="26" ht="21" customHeight="1" spans="1:12" x14ac:dyDescent="0.25">
      <c r="A26" s="22" t="s">
        <v>96</v>
      </c>
      <c r="B26" s="22" t="s">
        <v>312</v>
      </c>
      <c r="C26" s="22" t="s">
        <v>32</v>
      </c>
      <c r="D26" s="22" t="s">
        <v>282</v>
      </c>
      <c r="E26" s="22" t="s">
        <v>287</v>
      </c>
      <c r="F26" s="22" t="s">
        <v>314</v>
      </c>
      <c r="G26" s="22" t="s">
        <v>315</v>
      </c>
      <c r="H26" s="23">
        <v>250</v>
      </c>
      <c r="I26" s="22"/>
      <c r="J26" s="22" t="s">
        <v>316</v>
      </c>
      <c r="K26" s="22"/>
      <c r="L26" s="44"/>
    </row>
    <row r="27" ht="21" customHeight="1" spans="1:12" x14ac:dyDescent="0.25">
      <c r="A27" s="19" t="s">
        <v>96</v>
      </c>
      <c r="B27" s="19" t="s">
        <v>317</v>
      </c>
      <c r="C27" s="19" t="s">
        <v>35</v>
      </c>
      <c r="D27" s="19" t="s">
        <v>282</v>
      </c>
      <c r="E27" s="19" t="s">
        <v>283</v>
      </c>
      <c r="F27" s="19" t="s">
        <v>298</v>
      </c>
      <c r="G27" s="19" t="s">
        <v>299</v>
      </c>
      <c r="H27" s="20">
        <v>120</v>
      </c>
      <c r="I27" s="19"/>
      <c r="J27" s="19" t="s">
        <v>285</v>
      </c>
      <c r="K27" s="19"/>
      <c r="L27" s="40"/>
    </row>
    <row r="28" ht="21" customHeight="1" spans="1:12" x14ac:dyDescent="0.25">
      <c r="A28" s="22" t="s">
        <v>96</v>
      </c>
      <c r="B28" s="22" t="s">
        <v>148</v>
      </c>
      <c r="C28" s="22" t="s">
        <v>29</v>
      </c>
      <c r="D28" s="22" t="s">
        <v>282</v>
      </c>
      <c r="E28" s="22" t="s">
        <v>283</v>
      </c>
      <c r="F28" s="22" t="s">
        <v>318</v>
      </c>
      <c r="G28" s="22" t="s">
        <v>111</v>
      </c>
      <c r="H28" s="23">
        <v>178.95</v>
      </c>
      <c r="I28" s="22"/>
      <c r="J28" s="22" t="s">
        <v>285</v>
      </c>
      <c r="K28" s="22"/>
      <c r="L28" s="44"/>
    </row>
    <row r="29" ht="21" customHeight="1" spans="1:12" x14ac:dyDescent="0.25">
      <c r="A29" s="19" t="s">
        <v>96</v>
      </c>
      <c r="B29" s="19" t="s">
        <v>319</v>
      </c>
      <c r="C29" s="19" t="s">
        <v>29</v>
      </c>
      <c r="D29" s="19" t="s">
        <v>282</v>
      </c>
      <c r="E29" s="19" t="s">
        <v>283</v>
      </c>
      <c r="F29" s="19" t="s">
        <v>320</v>
      </c>
      <c r="G29" s="19" t="s">
        <v>127</v>
      </c>
      <c r="H29" s="20">
        <v>157.04</v>
      </c>
      <c r="I29" s="19"/>
      <c r="J29" s="19" t="s">
        <v>285</v>
      </c>
      <c r="K29" s="19"/>
      <c r="L29" s="40"/>
    </row>
    <row r="30" ht="21" customHeight="1" spans="1:12" x14ac:dyDescent="0.25">
      <c r="A30" s="22" t="s">
        <v>96</v>
      </c>
      <c r="B30" s="22" t="s">
        <v>319</v>
      </c>
      <c r="C30" s="22" t="s">
        <v>31</v>
      </c>
      <c r="D30" s="22" t="s">
        <v>282</v>
      </c>
      <c r="E30" s="22" t="s">
        <v>283</v>
      </c>
      <c r="F30" s="22" t="s">
        <v>321</v>
      </c>
      <c r="G30" s="22" t="s">
        <v>322</v>
      </c>
      <c r="H30" s="23">
        <v>289.45</v>
      </c>
      <c r="I30" s="22"/>
      <c r="J30" s="22" t="s">
        <v>285</v>
      </c>
      <c r="K30" s="22"/>
      <c r="L30" s="44"/>
    </row>
    <row r="31" ht="21" customHeight="1" spans="1:12" x14ac:dyDescent="0.25">
      <c r="A31" s="19" t="s">
        <v>96</v>
      </c>
      <c r="B31" s="19" t="s">
        <v>159</v>
      </c>
      <c r="C31" s="19" t="s">
        <v>29</v>
      </c>
      <c r="D31" s="19" t="s">
        <v>282</v>
      </c>
      <c r="E31" s="19" t="s">
        <v>283</v>
      </c>
      <c r="F31" s="19" t="s">
        <v>323</v>
      </c>
      <c r="G31" s="19" t="s">
        <v>132</v>
      </c>
      <c r="H31" s="20">
        <v>182.09</v>
      </c>
      <c r="I31" s="19"/>
      <c r="J31" s="19" t="s">
        <v>285</v>
      </c>
      <c r="K31" s="19"/>
      <c r="L31" s="40"/>
    </row>
    <row r="32" ht="21" customHeight="1" spans="1:12" x14ac:dyDescent="0.25">
      <c r="A32" s="22" t="s">
        <v>96</v>
      </c>
      <c r="B32" s="22" t="s">
        <v>159</v>
      </c>
      <c r="C32" s="22" t="s">
        <v>35</v>
      </c>
      <c r="D32" s="22" t="s">
        <v>282</v>
      </c>
      <c r="E32" s="22" t="s">
        <v>283</v>
      </c>
      <c r="F32" s="22" t="s">
        <v>324</v>
      </c>
      <c r="G32" s="22" t="s">
        <v>299</v>
      </c>
      <c r="H32" s="23">
        <v>140</v>
      </c>
      <c r="I32" s="22"/>
      <c r="J32" s="22" t="s">
        <v>285</v>
      </c>
      <c r="K32" s="22"/>
      <c r="L32" s="44"/>
    </row>
    <row r="33" ht="21" customHeight="1" spans="1:12" x14ac:dyDescent="0.25">
      <c r="A33" s="19" t="s">
        <v>96</v>
      </c>
      <c r="B33" s="19" t="s">
        <v>164</v>
      </c>
      <c r="C33" s="19" t="s">
        <v>29</v>
      </c>
      <c r="D33" s="19" t="s">
        <v>282</v>
      </c>
      <c r="E33" s="19" t="s">
        <v>283</v>
      </c>
      <c r="F33" s="19" t="s">
        <v>325</v>
      </c>
      <c r="G33" s="19" t="s">
        <v>100</v>
      </c>
      <c r="H33" s="20">
        <v>166.1</v>
      </c>
      <c r="I33" s="19"/>
      <c r="J33" s="19" t="s">
        <v>285</v>
      </c>
      <c r="K33" s="19"/>
      <c r="L33" s="40"/>
    </row>
    <row r="34" ht="21" customHeight="1" spans="1:12" x14ac:dyDescent="0.25">
      <c r="A34" s="22" t="s">
        <v>96</v>
      </c>
      <c r="B34" s="22" t="s">
        <v>326</v>
      </c>
      <c r="C34" s="22" t="s">
        <v>39</v>
      </c>
      <c r="D34" s="22" t="s">
        <v>282</v>
      </c>
      <c r="E34" s="22" t="s">
        <v>287</v>
      </c>
      <c r="F34" s="22" t="s">
        <v>327</v>
      </c>
      <c r="G34" s="22" t="s">
        <v>328</v>
      </c>
      <c r="H34" s="23">
        <v>95</v>
      </c>
      <c r="I34" s="22"/>
      <c r="J34" s="22" t="s">
        <v>316</v>
      </c>
      <c r="K34" s="22"/>
      <c r="L34" s="44"/>
    </row>
    <row r="35" ht="21" customHeight="1" spans="1:12" x14ac:dyDescent="0.25">
      <c r="A35" s="19" t="s">
        <v>96</v>
      </c>
      <c r="B35" s="19" t="s">
        <v>326</v>
      </c>
      <c r="C35" s="19" t="s">
        <v>41</v>
      </c>
      <c r="D35" s="19" t="s">
        <v>282</v>
      </c>
      <c r="E35" s="19" t="s">
        <v>287</v>
      </c>
      <c r="F35" s="19" t="s">
        <v>329</v>
      </c>
      <c r="G35" s="19" t="s">
        <v>330</v>
      </c>
      <c r="H35" s="20">
        <v>39</v>
      </c>
      <c r="I35" s="19"/>
      <c r="J35" s="19" t="s">
        <v>316</v>
      </c>
      <c r="K35" s="19"/>
      <c r="L35" s="40"/>
    </row>
    <row r="36" ht="21" customHeight="1" spans="1:12" x14ac:dyDescent="0.25">
      <c r="A36" s="22" t="s">
        <v>96</v>
      </c>
      <c r="B36" s="22" t="s">
        <v>331</v>
      </c>
      <c r="C36" s="22" t="s">
        <v>33</v>
      </c>
      <c r="D36" s="22" t="s">
        <v>282</v>
      </c>
      <c r="E36" s="22" t="s">
        <v>287</v>
      </c>
      <c r="F36" s="22" t="s">
        <v>332</v>
      </c>
      <c r="G36" s="22" t="s">
        <v>333</v>
      </c>
      <c r="H36" s="23">
        <v>225</v>
      </c>
      <c r="I36" s="22"/>
      <c r="J36" s="22" t="s">
        <v>316</v>
      </c>
      <c r="K36" s="22"/>
      <c r="L36" s="44"/>
    </row>
    <row r="37" ht="21" customHeight="1" spans="1:12" x14ac:dyDescent="0.25">
      <c r="A37" s="19" t="s">
        <v>96</v>
      </c>
      <c r="B37" s="19" t="s">
        <v>331</v>
      </c>
      <c r="C37" s="19" t="s">
        <v>30</v>
      </c>
      <c r="D37" s="19" t="s">
        <v>282</v>
      </c>
      <c r="E37" s="19" t="s">
        <v>287</v>
      </c>
      <c r="F37" s="19" t="s">
        <v>334</v>
      </c>
      <c r="G37" s="19" t="s">
        <v>335</v>
      </c>
      <c r="H37" s="20">
        <v>685</v>
      </c>
      <c r="I37" s="19"/>
      <c r="J37" s="19" t="s">
        <v>316</v>
      </c>
      <c r="K37" s="19"/>
      <c r="L37" s="40"/>
    </row>
    <row r="38" ht="21" customHeight="1" spans="1:12" x14ac:dyDescent="0.25">
      <c r="A38" s="22" t="s">
        <v>96</v>
      </c>
      <c r="B38" s="22" t="s">
        <v>331</v>
      </c>
      <c r="C38" s="22" t="s">
        <v>336</v>
      </c>
      <c r="D38" s="22" t="s">
        <v>337</v>
      </c>
      <c r="E38" s="22" t="s">
        <v>287</v>
      </c>
      <c r="F38" s="22" t="s">
        <v>338</v>
      </c>
      <c r="G38" s="22" t="s">
        <v>339</v>
      </c>
      <c r="H38" s="23">
        <v>1285</v>
      </c>
      <c r="I38" s="22"/>
      <c r="J38" s="22" t="s">
        <v>316</v>
      </c>
      <c r="K38" s="22"/>
      <c r="L38" s="44"/>
    </row>
    <row r="39" ht="21" customHeight="1" spans="1:12" x14ac:dyDescent="0.25">
      <c r="A39" s="19" t="s">
        <v>96</v>
      </c>
      <c r="B39" s="19" t="s">
        <v>173</v>
      </c>
      <c r="C39" s="19" t="s">
        <v>29</v>
      </c>
      <c r="D39" s="19" t="s">
        <v>282</v>
      </c>
      <c r="E39" s="19" t="s">
        <v>283</v>
      </c>
      <c r="F39" s="19" t="s">
        <v>340</v>
      </c>
      <c r="G39" s="19" t="s">
        <v>341</v>
      </c>
      <c r="H39" s="20">
        <v>191.88</v>
      </c>
      <c r="I39" s="19"/>
      <c r="J39" s="19" t="s">
        <v>285</v>
      </c>
      <c r="K39" s="19"/>
      <c r="L39" s="40"/>
    </row>
    <row r="40" ht="21" customHeight="1" spans="1:12" x14ac:dyDescent="0.25">
      <c r="A40" s="22" t="s">
        <v>96</v>
      </c>
      <c r="B40" s="22" t="s">
        <v>173</v>
      </c>
      <c r="C40" s="22" t="s">
        <v>38</v>
      </c>
      <c r="D40" s="22" t="s">
        <v>282</v>
      </c>
      <c r="E40" s="22" t="s">
        <v>287</v>
      </c>
      <c r="F40" s="22" t="s">
        <v>342</v>
      </c>
      <c r="G40" s="22" t="s">
        <v>306</v>
      </c>
      <c r="H40" s="23">
        <v>104.11</v>
      </c>
      <c r="I40" s="22"/>
      <c r="J40" s="22" t="s">
        <v>285</v>
      </c>
      <c r="K40" s="22"/>
      <c r="L40" s="44"/>
    </row>
    <row r="41" ht="21" customHeight="1" spans="1:12" x14ac:dyDescent="0.25">
      <c r="A41" s="19" t="s">
        <v>96</v>
      </c>
      <c r="B41" s="19" t="s">
        <v>177</v>
      </c>
      <c r="C41" s="19" t="s">
        <v>37</v>
      </c>
      <c r="D41" s="19" t="s">
        <v>282</v>
      </c>
      <c r="E41" s="19" t="s">
        <v>283</v>
      </c>
      <c r="F41" s="19" t="s">
        <v>343</v>
      </c>
      <c r="G41" s="19" t="s">
        <v>292</v>
      </c>
      <c r="H41" s="20">
        <v>140.98</v>
      </c>
      <c r="I41" s="19"/>
      <c r="J41" s="19" t="s">
        <v>285</v>
      </c>
      <c r="K41" s="19"/>
      <c r="L41" s="40"/>
    </row>
    <row r="42" ht="21" customHeight="1" spans="1:12" x14ac:dyDescent="0.25">
      <c r="A42" s="22" t="s">
        <v>96</v>
      </c>
      <c r="B42" s="22" t="s">
        <v>344</v>
      </c>
      <c r="C42" s="22" t="s">
        <v>29</v>
      </c>
      <c r="D42" s="22" t="s">
        <v>282</v>
      </c>
      <c r="E42" s="22" t="s">
        <v>283</v>
      </c>
      <c r="F42" s="22" t="s">
        <v>345</v>
      </c>
      <c r="G42" s="22" t="s">
        <v>341</v>
      </c>
      <c r="H42" s="23">
        <v>173.03</v>
      </c>
      <c r="I42" s="22"/>
      <c r="J42" s="22" t="s">
        <v>285</v>
      </c>
      <c r="K42" s="22"/>
      <c r="L42" s="44"/>
    </row>
    <row r="43" ht="21" customHeight="1" spans="1:12" x14ac:dyDescent="0.25">
      <c r="A43" s="19" t="s">
        <v>96</v>
      </c>
      <c r="B43" s="19" t="s">
        <v>179</v>
      </c>
      <c r="C43" s="19" t="s">
        <v>34</v>
      </c>
      <c r="D43" s="19" t="s">
        <v>282</v>
      </c>
      <c r="E43" s="19" t="s">
        <v>283</v>
      </c>
      <c r="F43" s="19" t="s">
        <v>346</v>
      </c>
      <c r="G43" s="19" t="s">
        <v>135</v>
      </c>
      <c r="H43" s="20">
        <v>173.03</v>
      </c>
      <c r="I43" s="19"/>
      <c r="J43" s="19" t="s">
        <v>285</v>
      </c>
      <c r="K43" s="19"/>
      <c r="L43" s="40"/>
    </row>
    <row r="44" ht="21" customHeight="1" spans="1:12" x14ac:dyDescent="0.25">
      <c r="A44" s="22" t="s">
        <v>96</v>
      </c>
      <c r="B44" s="22" t="s">
        <v>347</v>
      </c>
      <c r="C44" s="22" t="s">
        <v>36</v>
      </c>
      <c r="D44" s="22" t="s">
        <v>282</v>
      </c>
      <c r="E44" s="22" t="s">
        <v>283</v>
      </c>
      <c r="F44" s="22" t="s">
        <v>348</v>
      </c>
      <c r="G44" s="22" t="s">
        <v>308</v>
      </c>
      <c r="H44" s="23">
        <v>230.63</v>
      </c>
      <c r="I44" s="22"/>
      <c r="J44" s="22" t="s">
        <v>285</v>
      </c>
      <c r="K44" s="22"/>
      <c r="L44" s="44"/>
    </row>
    <row r="45" ht="21" customHeight="1" spans="1:12" x14ac:dyDescent="0.25">
      <c r="A45" s="19" t="s">
        <v>96</v>
      </c>
      <c r="B45" s="19" t="s">
        <v>349</v>
      </c>
      <c r="C45" s="19" t="s">
        <v>29</v>
      </c>
      <c r="D45" s="19" t="s">
        <v>282</v>
      </c>
      <c r="E45" s="19" t="s">
        <v>283</v>
      </c>
      <c r="F45" s="19" t="s">
        <v>350</v>
      </c>
      <c r="G45" s="19" t="s">
        <v>341</v>
      </c>
      <c r="H45" s="20">
        <v>199.32</v>
      </c>
      <c r="I45" s="19"/>
      <c r="J45" s="19" t="s">
        <v>285</v>
      </c>
      <c r="K45" s="19"/>
      <c r="L45" s="40"/>
    </row>
    <row r="46" ht="21" customHeight="1" spans="1:12" x14ac:dyDescent="0.25">
      <c r="A46" s="22" t="s">
        <v>96</v>
      </c>
      <c r="B46" s="22" t="s">
        <v>183</v>
      </c>
      <c r="C46" s="22" t="s">
        <v>32</v>
      </c>
      <c r="D46" s="22" t="s">
        <v>282</v>
      </c>
      <c r="E46" s="22" t="s">
        <v>287</v>
      </c>
      <c r="F46" s="22" t="s">
        <v>314</v>
      </c>
      <c r="G46" s="22" t="s">
        <v>315</v>
      </c>
      <c r="H46" s="23">
        <v>250</v>
      </c>
      <c r="I46" s="22"/>
      <c r="J46" s="22" t="s">
        <v>316</v>
      </c>
      <c r="K46" s="22"/>
      <c r="L46" s="44"/>
    </row>
    <row r="47" ht="21" customHeight="1" spans="1:12" x14ac:dyDescent="0.25">
      <c r="A47" s="19" t="s">
        <v>96</v>
      </c>
      <c r="B47" s="19" t="s">
        <v>185</v>
      </c>
      <c r="C47" s="19" t="s">
        <v>29</v>
      </c>
      <c r="D47" s="19" t="s">
        <v>282</v>
      </c>
      <c r="E47" s="19" t="s">
        <v>283</v>
      </c>
      <c r="F47" s="19" t="s">
        <v>351</v>
      </c>
      <c r="G47" s="19" t="s">
        <v>341</v>
      </c>
      <c r="H47" s="20">
        <v>213.05</v>
      </c>
      <c r="I47" s="19"/>
      <c r="J47" s="19" t="s">
        <v>285</v>
      </c>
      <c r="K47" s="19"/>
      <c r="L47" s="40"/>
    </row>
    <row r="48" ht="21" customHeight="1" spans="1:12" x14ac:dyDescent="0.25">
      <c r="A48" s="22" t="s">
        <v>96</v>
      </c>
      <c r="B48" s="22" t="s">
        <v>185</v>
      </c>
      <c r="C48" s="22" t="s">
        <v>31</v>
      </c>
      <c r="D48" s="22" t="s">
        <v>282</v>
      </c>
      <c r="E48" s="22" t="s">
        <v>283</v>
      </c>
      <c r="F48" s="22" t="s">
        <v>352</v>
      </c>
      <c r="G48" s="22" t="s">
        <v>322</v>
      </c>
      <c r="H48" s="23">
        <v>260.62</v>
      </c>
      <c r="I48" s="22"/>
      <c r="J48" s="22" t="s">
        <v>285</v>
      </c>
      <c r="K48" s="22"/>
      <c r="L48" s="44"/>
    </row>
    <row r="49" ht="21" customHeight="1" spans="1:12" x14ac:dyDescent="0.25">
      <c r="A49" s="19" t="s">
        <v>96</v>
      </c>
      <c r="B49" s="19" t="s">
        <v>189</v>
      </c>
      <c r="C49" s="19" t="s">
        <v>29</v>
      </c>
      <c r="D49" s="19" t="s">
        <v>282</v>
      </c>
      <c r="E49" s="19" t="s">
        <v>283</v>
      </c>
      <c r="F49" s="19" t="s">
        <v>353</v>
      </c>
      <c r="G49" s="19" t="s">
        <v>341</v>
      </c>
      <c r="H49" s="20">
        <v>206.44</v>
      </c>
      <c r="I49" s="19"/>
      <c r="J49" s="19" t="s">
        <v>285</v>
      </c>
      <c r="K49" s="19"/>
      <c r="L49" s="40"/>
    </row>
    <row r="50" ht="21" customHeight="1" spans="1:12" x14ac:dyDescent="0.25">
      <c r="A50" s="22" t="s">
        <v>96</v>
      </c>
      <c r="B50" s="22" t="s">
        <v>193</v>
      </c>
      <c r="C50" s="22" t="s">
        <v>35</v>
      </c>
      <c r="D50" s="22" t="s">
        <v>282</v>
      </c>
      <c r="E50" s="22" t="s">
        <v>283</v>
      </c>
      <c r="F50" s="22" t="s">
        <v>298</v>
      </c>
      <c r="G50" s="22" t="s">
        <v>299</v>
      </c>
      <c r="H50" s="23">
        <v>102.05</v>
      </c>
      <c r="I50" s="22"/>
      <c r="J50" s="22" t="s">
        <v>285</v>
      </c>
      <c r="K50" s="22"/>
      <c r="L50" s="44"/>
    </row>
    <row r="51" ht="21" customHeight="1" spans="1:12" x14ac:dyDescent="0.25">
      <c r="A51" s="19" t="s">
        <v>96</v>
      </c>
      <c r="B51" s="19" t="s">
        <v>354</v>
      </c>
      <c r="C51" s="19" t="s">
        <v>29</v>
      </c>
      <c r="D51" s="19" t="s">
        <v>282</v>
      </c>
      <c r="E51" s="19" t="s">
        <v>283</v>
      </c>
      <c r="F51" s="19" t="s">
        <v>355</v>
      </c>
      <c r="G51" s="19" t="s">
        <v>341</v>
      </c>
      <c r="H51" s="20">
        <v>195.45</v>
      </c>
      <c r="I51" s="19"/>
      <c r="J51" s="19" t="s">
        <v>285</v>
      </c>
      <c r="K51" s="19"/>
      <c r="L51" s="40"/>
    </row>
    <row r="52" ht="21" customHeight="1" spans="1:12" x14ac:dyDescent="0.25">
      <c r="A52" s="22" t="s">
        <v>96</v>
      </c>
      <c r="B52" s="22" t="s">
        <v>356</v>
      </c>
      <c r="C52" s="22" t="s">
        <v>29</v>
      </c>
      <c r="D52" s="22" t="s">
        <v>282</v>
      </c>
      <c r="E52" s="22" t="s">
        <v>283</v>
      </c>
      <c r="F52" s="22" t="s">
        <v>357</v>
      </c>
      <c r="G52" s="22" t="s">
        <v>341</v>
      </c>
      <c r="H52" s="23">
        <v>202.25</v>
      </c>
      <c r="I52" s="22"/>
      <c r="J52" s="22" t="s">
        <v>285</v>
      </c>
      <c r="K52" s="22"/>
      <c r="L52" s="44"/>
    </row>
    <row r="53" ht="21" customHeight="1" spans="1:12" x14ac:dyDescent="0.25">
      <c r="A53" s="19" t="s">
        <v>96</v>
      </c>
      <c r="B53" s="19" t="s">
        <v>356</v>
      </c>
      <c r="C53" s="19" t="s">
        <v>39</v>
      </c>
      <c r="D53" s="19" t="s">
        <v>282</v>
      </c>
      <c r="E53" s="19" t="s">
        <v>287</v>
      </c>
      <c r="F53" s="19" t="s">
        <v>327</v>
      </c>
      <c r="G53" s="19" t="s">
        <v>328</v>
      </c>
      <c r="H53" s="20">
        <v>95</v>
      </c>
      <c r="I53" s="19"/>
      <c r="J53" s="19" t="s">
        <v>316</v>
      </c>
      <c r="K53" s="19"/>
      <c r="L53" s="40"/>
    </row>
    <row r="54" ht="21" customHeight="1" spans="1:12" x14ac:dyDescent="0.25">
      <c r="A54" s="22" t="s">
        <v>96</v>
      </c>
      <c r="B54" s="22" t="s">
        <v>356</v>
      </c>
      <c r="C54" s="22" t="s">
        <v>41</v>
      </c>
      <c r="D54" s="22" t="s">
        <v>282</v>
      </c>
      <c r="E54" s="22" t="s">
        <v>287</v>
      </c>
      <c r="F54" s="22" t="s">
        <v>329</v>
      </c>
      <c r="G54" s="22" t="s">
        <v>330</v>
      </c>
      <c r="H54" s="23">
        <v>39</v>
      </c>
      <c r="I54" s="22"/>
      <c r="J54" s="22" t="s">
        <v>316</v>
      </c>
      <c r="K54" s="22"/>
      <c r="L54" s="44"/>
    </row>
    <row r="55" ht="21" customHeight="1" spans="1:12" x14ac:dyDescent="0.25">
      <c r="A55" s="19" t="s">
        <v>96</v>
      </c>
      <c r="B55" s="19" t="s">
        <v>199</v>
      </c>
      <c r="C55" s="19" t="s">
        <v>33</v>
      </c>
      <c r="D55" s="19" t="s">
        <v>282</v>
      </c>
      <c r="E55" s="19" t="s">
        <v>287</v>
      </c>
      <c r="F55" s="19" t="s">
        <v>332</v>
      </c>
      <c r="G55" s="19" t="s">
        <v>333</v>
      </c>
      <c r="H55" s="20">
        <v>225</v>
      </c>
      <c r="I55" s="19"/>
      <c r="J55" s="19" t="s">
        <v>316</v>
      </c>
      <c r="K55" s="19"/>
      <c r="L55" s="40"/>
    </row>
    <row r="56" ht="21" customHeight="1" spans="1:12" x14ac:dyDescent="0.25">
      <c r="A56" s="22" t="s">
        <v>96</v>
      </c>
      <c r="B56" s="22" t="s">
        <v>199</v>
      </c>
      <c r="C56" s="22" t="s">
        <v>30</v>
      </c>
      <c r="D56" s="22" t="s">
        <v>282</v>
      </c>
      <c r="E56" s="22" t="s">
        <v>287</v>
      </c>
      <c r="F56" s="22" t="s">
        <v>334</v>
      </c>
      <c r="G56" s="22" t="s">
        <v>335</v>
      </c>
      <c r="H56" s="23">
        <v>685</v>
      </c>
      <c r="I56" s="22"/>
      <c r="J56" s="22" t="s">
        <v>316</v>
      </c>
      <c r="K56" s="22"/>
      <c r="L56" s="44"/>
    </row>
    <row r="57" ht="21" customHeight="1" spans="1:12" x14ac:dyDescent="0.25">
      <c r="A57" s="19" t="s">
        <v>96</v>
      </c>
      <c r="B57" s="19" t="s">
        <v>199</v>
      </c>
      <c r="C57" s="19" t="s">
        <v>336</v>
      </c>
      <c r="D57" s="19" t="s">
        <v>337</v>
      </c>
      <c r="E57" s="19" t="s">
        <v>287</v>
      </c>
      <c r="F57" s="19" t="s">
        <v>358</v>
      </c>
      <c r="G57" s="19" t="s">
        <v>339</v>
      </c>
      <c r="H57" s="20">
        <v>1285</v>
      </c>
      <c r="I57" s="19"/>
      <c r="J57" s="19" t="s">
        <v>316</v>
      </c>
      <c r="K57" s="19"/>
      <c r="L57" s="40"/>
    </row>
    <row r="58" ht="21" customHeight="1" spans="1:12" x14ac:dyDescent="0.25">
      <c r="A58" s="22" t="s">
        <v>96</v>
      </c>
      <c r="B58" s="22" t="s">
        <v>359</v>
      </c>
      <c r="C58" s="22" t="s">
        <v>29</v>
      </c>
      <c r="D58" s="22" t="s">
        <v>282</v>
      </c>
      <c r="E58" s="22" t="s">
        <v>283</v>
      </c>
      <c r="F58" s="22" t="s">
        <v>360</v>
      </c>
      <c r="G58" s="22" t="s">
        <v>341</v>
      </c>
      <c r="H58" s="23">
        <v>126.38</v>
      </c>
      <c r="I58" s="22"/>
      <c r="J58" s="22" t="s">
        <v>285</v>
      </c>
      <c r="K58" s="22"/>
      <c r="L58" s="44"/>
    </row>
    <row r="59" ht="21" customHeight="1" spans="1:12" x14ac:dyDescent="0.25">
      <c r="A59" s="19" t="s">
        <v>96</v>
      </c>
      <c r="B59" s="19" t="s">
        <v>359</v>
      </c>
      <c r="C59" s="19" t="s">
        <v>38</v>
      </c>
      <c r="D59" s="19" t="s">
        <v>282</v>
      </c>
      <c r="E59" s="19" t="s">
        <v>287</v>
      </c>
      <c r="F59" s="19" t="s">
        <v>342</v>
      </c>
      <c r="G59" s="19" t="s">
        <v>306</v>
      </c>
      <c r="H59" s="20">
        <v>110.85</v>
      </c>
      <c r="I59" s="19"/>
      <c r="J59" s="19" t="s">
        <v>285</v>
      </c>
      <c r="K59" s="19"/>
      <c r="L59" s="40"/>
    </row>
    <row r="60" ht="21" customHeight="1" spans="1:12" x14ac:dyDescent="0.25">
      <c r="A60" s="22" t="s">
        <v>96</v>
      </c>
      <c r="B60" s="22" t="s">
        <v>207</v>
      </c>
      <c r="C60" s="22" t="s">
        <v>29</v>
      </c>
      <c r="D60" s="22" t="s">
        <v>282</v>
      </c>
      <c r="E60" s="22" t="s">
        <v>283</v>
      </c>
      <c r="F60" s="22" t="s">
        <v>361</v>
      </c>
      <c r="G60" s="22" t="s">
        <v>341</v>
      </c>
      <c r="H60" s="23">
        <v>131.65</v>
      </c>
      <c r="I60" s="22"/>
      <c r="J60" s="22" t="s">
        <v>285</v>
      </c>
      <c r="K60" s="22"/>
      <c r="L60" s="44"/>
    </row>
    <row r="61" ht="21" customHeight="1" spans="1:12" x14ac:dyDescent="0.25">
      <c r="A61" s="19" t="s">
        <v>96</v>
      </c>
      <c r="B61" s="19" t="s">
        <v>207</v>
      </c>
      <c r="C61" s="19" t="s">
        <v>37</v>
      </c>
      <c r="D61" s="19" t="s">
        <v>282</v>
      </c>
      <c r="E61" s="19" t="s">
        <v>283</v>
      </c>
      <c r="F61" s="19" t="s">
        <v>343</v>
      </c>
      <c r="G61" s="19" t="s">
        <v>292</v>
      </c>
      <c r="H61" s="20">
        <v>133.59</v>
      </c>
      <c r="I61" s="19"/>
      <c r="J61" s="19" t="s">
        <v>285</v>
      </c>
      <c r="K61" s="19"/>
      <c r="L61" s="40"/>
    </row>
    <row r="62" ht="21" customHeight="1" spans="1:12" x14ac:dyDescent="0.25">
      <c r="A62" s="22" t="s">
        <v>96</v>
      </c>
      <c r="B62" s="22" t="s">
        <v>362</v>
      </c>
      <c r="C62" s="22" t="s">
        <v>34</v>
      </c>
      <c r="D62" s="22" t="s">
        <v>282</v>
      </c>
      <c r="E62" s="22" t="s">
        <v>283</v>
      </c>
      <c r="F62" s="22" t="s">
        <v>346</v>
      </c>
      <c r="G62" s="22" t="s">
        <v>135</v>
      </c>
      <c r="H62" s="23">
        <v>120.56</v>
      </c>
      <c r="I62" s="22"/>
      <c r="J62" s="22" t="s">
        <v>285</v>
      </c>
      <c r="K62" s="22"/>
      <c r="L62" s="44"/>
    </row>
    <row r="63" ht="21" customHeight="1" spans="1:12" x14ac:dyDescent="0.25">
      <c r="A63" s="19" t="s">
        <v>96</v>
      </c>
      <c r="B63" s="19" t="s">
        <v>363</v>
      </c>
      <c r="C63" s="19" t="s">
        <v>29</v>
      </c>
      <c r="D63" s="19" t="s">
        <v>282</v>
      </c>
      <c r="E63" s="19" t="s">
        <v>283</v>
      </c>
      <c r="F63" s="19" t="s">
        <v>364</v>
      </c>
      <c r="G63" s="19" t="s">
        <v>341</v>
      </c>
      <c r="H63" s="20">
        <v>143.45</v>
      </c>
      <c r="I63" s="19"/>
      <c r="J63" s="19" t="s">
        <v>285</v>
      </c>
      <c r="K63" s="19"/>
      <c r="L63" s="40"/>
    </row>
    <row r="64" ht="21" customHeight="1" spans="1:12" x14ac:dyDescent="0.25">
      <c r="A64" s="22" t="s">
        <v>96</v>
      </c>
      <c r="B64" s="22" t="s">
        <v>365</v>
      </c>
      <c r="C64" s="22" t="s">
        <v>29</v>
      </c>
      <c r="D64" s="22" t="s">
        <v>282</v>
      </c>
      <c r="E64" s="22" t="s">
        <v>283</v>
      </c>
      <c r="F64" s="22" t="s">
        <v>366</v>
      </c>
      <c r="G64" s="22" t="s">
        <v>341</v>
      </c>
      <c r="H64" s="23">
        <v>141.01</v>
      </c>
      <c r="I64" s="22"/>
      <c r="J64" s="22" t="s">
        <v>285</v>
      </c>
      <c r="K64" s="22"/>
      <c r="L64" s="44"/>
    </row>
    <row r="65" ht="21" customHeight="1" spans="1:12" x14ac:dyDescent="0.25">
      <c r="A65" s="19" t="s">
        <v>96</v>
      </c>
      <c r="B65" s="19" t="s">
        <v>365</v>
      </c>
      <c r="C65" s="19" t="s">
        <v>32</v>
      </c>
      <c r="D65" s="19" t="s">
        <v>282</v>
      </c>
      <c r="E65" s="19" t="s">
        <v>287</v>
      </c>
      <c r="F65" s="19" t="s">
        <v>314</v>
      </c>
      <c r="G65" s="19" t="s">
        <v>315</v>
      </c>
      <c r="H65" s="20">
        <v>250</v>
      </c>
      <c r="I65" s="19"/>
      <c r="J65" s="19" t="s">
        <v>316</v>
      </c>
      <c r="K65" s="19"/>
      <c r="L65" s="40"/>
    </row>
    <row r="66" ht="21" customHeight="1" spans="1:12" x14ac:dyDescent="0.25">
      <c r="A66" s="22" t="s">
        <v>96</v>
      </c>
      <c r="B66" s="22" t="s">
        <v>213</v>
      </c>
      <c r="C66" s="22" t="s">
        <v>31</v>
      </c>
      <c r="D66" s="22" t="s">
        <v>282</v>
      </c>
      <c r="E66" s="22" t="s">
        <v>283</v>
      </c>
      <c r="F66" s="22" t="s">
        <v>352</v>
      </c>
      <c r="G66" s="22" t="s">
        <v>322</v>
      </c>
      <c r="H66" s="23">
        <v>207.89</v>
      </c>
      <c r="I66" s="22"/>
      <c r="J66" s="22" t="s">
        <v>285</v>
      </c>
      <c r="K66" s="22"/>
      <c r="L66" s="44"/>
    </row>
    <row r="67" ht="21" customHeight="1" spans="1:12" x14ac:dyDescent="0.25">
      <c r="A67" s="19" t="s">
        <v>96</v>
      </c>
      <c r="B67" s="19" t="s">
        <v>215</v>
      </c>
      <c r="C67" s="19" t="s">
        <v>29</v>
      </c>
      <c r="D67" s="19" t="s">
        <v>282</v>
      </c>
      <c r="E67" s="19" t="s">
        <v>283</v>
      </c>
      <c r="F67" s="19" t="s">
        <v>367</v>
      </c>
      <c r="G67" s="19" t="s">
        <v>341</v>
      </c>
      <c r="H67" s="20">
        <v>121</v>
      </c>
      <c r="I67" s="19"/>
      <c r="J67" s="19" t="s">
        <v>285</v>
      </c>
      <c r="K67" s="19"/>
      <c r="L67" s="40"/>
    </row>
    <row r="68" ht="21" customHeight="1" spans="1:12" x14ac:dyDescent="0.25">
      <c r="A68" s="22" t="s">
        <v>96</v>
      </c>
      <c r="B68" s="22" t="s">
        <v>221</v>
      </c>
      <c r="C68" s="22" t="s">
        <v>29</v>
      </c>
      <c r="D68" s="22" t="s">
        <v>282</v>
      </c>
      <c r="E68" s="22" t="s">
        <v>283</v>
      </c>
      <c r="F68" s="22" t="s">
        <v>368</v>
      </c>
      <c r="G68" s="22" t="s">
        <v>341</v>
      </c>
      <c r="H68" s="23">
        <v>133.73</v>
      </c>
      <c r="I68" s="22"/>
      <c r="J68" s="22" t="s">
        <v>285</v>
      </c>
      <c r="K68" s="22"/>
      <c r="L68" s="44"/>
    </row>
    <row r="69" ht="21" customHeight="1" spans="1:12" x14ac:dyDescent="0.25">
      <c r="A69" s="19" t="s">
        <v>96</v>
      </c>
      <c r="B69" s="19" t="s">
        <v>223</v>
      </c>
      <c r="C69" s="19" t="s">
        <v>35</v>
      </c>
      <c r="D69" s="19" t="s">
        <v>282</v>
      </c>
      <c r="E69" s="19" t="s">
        <v>283</v>
      </c>
      <c r="F69" s="19" t="s">
        <v>298</v>
      </c>
      <c r="G69" s="19" t="s">
        <v>299</v>
      </c>
      <c r="H69" s="20">
        <v>99.95</v>
      </c>
      <c r="I69" s="19"/>
      <c r="J69" s="19" t="s">
        <v>285</v>
      </c>
      <c r="K69" s="19"/>
      <c r="L69" s="40"/>
    </row>
    <row r="70" ht="21" customHeight="1" spans="1:12" x14ac:dyDescent="0.25">
      <c r="A70" s="22" t="s">
        <v>96</v>
      </c>
      <c r="B70" s="22" t="s">
        <v>225</v>
      </c>
      <c r="C70" s="22" t="s">
        <v>29</v>
      </c>
      <c r="D70" s="22" t="s">
        <v>282</v>
      </c>
      <c r="E70" s="22" t="s">
        <v>283</v>
      </c>
      <c r="F70" s="22" t="s">
        <v>369</v>
      </c>
      <c r="G70" s="22" t="s">
        <v>341</v>
      </c>
      <c r="H70" s="23">
        <v>133.24</v>
      </c>
      <c r="I70" s="22"/>
      <c r="J70" s="22" t="s">
        <v>285</v>
      </c>
      <c r="K70" s="22"/>
      <c r="L70" s="44"/>
    </row>
    <row r="71" ht="21" customHeight="1" spans="1:12" x14ac:dyDescent="0.25">
      <c r="A71" s="19" t="s">
        <v>96</v>
      </c>
      <c r="B71" s="19" t="s">
        <v>370</v>
      </c>
      <c r="C71" s="19" t="s">
        <v>29</v>
      </c>
      <c r="D71" s="19" t="s">
        <v>282</v>
      </c>
      <c r="E71" s="19" t="s">
        <v>283</v>
      </c>
      <c r="F71" s="19" t="s">
        <v>371</v>
      </c>
      <c r="G71" s="19" t="s">
        <v>341</v>
      </c>
      <c r="H71" s="20">
        <v>141.63</v>
      </c>
      <c r="I71" s="19"/>
      <c r="J71" s="19" t="s">
        <v>285</v>
      </c>
      <c r="K71" s="19"/>
      <c r="L71" s="40"/>
    </row>
    <row r="72" ht="21" customHeight="1" spans="1:12" x14ac:dyDescent="0.25">
      <c r="A72" s="22" t="s">
        <v>96</v>
      </c>
      <c r="B72" s="22" t="s">
        <v>370</v>
      </c>
      <c r="C72" s="22" t="s">
        <v>39</v>
      </c>
      <c r="D72" s="22" t="s">
        <v>282</v>
      </c>
      <c r="E72" s="22" t="s">
        <v>287</v>
      </c>
      <c r="F72" s="22" t="s">
        <v>327</v>
      </c>
      <c r="G72" s="22" t="s">
        <v>328</v>
      </c>
      <c r="H72" s="23">
        <v>95</v>
      </c>
      <c r="I72" s="22"/>
      <c r="J72" s="22" t="s">
        <v>316</v>
      </c>
      <c r="K72" s="22"/>
      <c r="L72" s="44"/>
    </row>
    <row r="73" ht="21" customHeight="1" spans="1:12" x14ac:dyDescent="0.25">
      <c r="A73" s="19" t="s">
        <v>96</v>
      </c>
      <c r="B73" s="19" t="s">
        <v>370</v>
      </c>
      <c r="C73" s="19" t="s">
        <v>41</v>
      </c>
      <c r="D73" s="19" t="s">
        <v>282</v>
      </c>
      <c r="E73" s="19" t="s">
        <v>287</v>
      </c>
      <c r="F73" s="19" t="s">
        <v>329</v>
      </c>
      <c r="G73" s="19" t="s">
        <v>330</v>
      </c>
      <c r="H73" s="20">
        <v>39</v>
      </c>
      <c r="I73" s="19"/>
      <c r="J73" s="19" t="s">
        <v>316</v>
      </c>
      <c r="K73" s="19"/>
      <c r="L73" s="40"/>
    </row>
    <row r="74" ht="21" customHeight="1" spans="1:12" x14ac:dyDescent="0.25">
      <c r="A74" s="22" t="s">
        <v>96</v>
      </c>
      <c r="B74" s="22" t="s">
        <v>229</v>
      </c>
      <c r="C74" s="22" t="s">
        <v>33</v>
      </c>
      <c r="D74" s="22" t="s">
        <v>282</v>
      </c>
      <c r="E74" s="22" t="s">
        <v>287</v>
      </c>
      <c r="F74" s="22" t="s">
        <v>332</v>
      </c>
      <c r="G74" s="22" t="s">
        <v>333</v>
      </c>
      <c r="H74" s="23">
        <v>225</v>
      </c>
      <c r="I74" s="22"/>
      <c r="J74" s="22" t="s">
        <v>316</v>
      </c>
      <c r="K74" s="22"/>
      <c r="L74" s="44"/>
    </row>
    <row r="75" ht="21" customHeight="1" spans="1:12" x14ac:dyDescent="0.25">
      <c r="A75" s="19" t="s">
        <v>96</v>
      </c>
      <c r="B75" s="19" t="s">
        <v>229</v>
      </c>
      <c r="C75" s="19" t="s">
        <v>30</v>
      </c>
      <c r="D75" s="19" t="s">
        <v>282</v>
      </c>
      <c r="E75" s="19" t="s">
        <v>287</v>
      </c>
      <c r="F75" s="19" t="s">
        <v>334</v>
      </c>
      <c r="G75" s="19" t="s">
        <v>335</v>
      </c>
      <c r="H75" s="20">
        <v>685</v>
      </c>
      <c r="I75" s="19"/>
      <c r="J75" s="19" t="s">
        <v>316</v>
      </c>
      <c r="K75" s="19"/>
      <c r="L75" s="40"/>
    </row>
    <row r="76" ht="21" customHeight="1" spans="1:12" x14ac:dyDescent="0.25">
      <c r="A76" s="22" t="s">
        <v>96</v>
      </c>
      <c r="B76" s="22" t="s">
        <v>229</v>
      </c>
      <c r="C76" s="22" t="s">
        <v>336</v>
      </c>
      <c r="D76" s="22" t="s">
        <v>337</v>
      </c>
      <c r="E76" s="22" t="s">
        <v>287</v>
      </c>
      <c r="F76" s="22" t="s">
        <v>358</v>
      </c>
      <c r="G76" s="22" t="s">
        <v>339</v>
      </c>
      <c r="H76" s="23">
        <v>1285</v>
      </c>
      <c r="I76" s="22"/>
      <c r="J76" s="22" t="s">
        <v>316</v>
      </c>
      <c r="K76" s="22"/>
      <c r="L76" s="44"/>
    </row>
    <row r="77" ht="21" customHeight="1" spans="1:12" x14ac:dyDescent="0.25">
      <c r="A77" s="19" t="s">
        <v>96</v>
      </c>
      <c r="B77" s="19" t="s">
        <v>372</v>
      </c>
      <c r="C77" s="19" t="s">
        <v>29</v>
      </c>
      <c r="D77" s="19" t="s">
        <v>282</v>
      </c>
      <c r="E77" s="19" t="s">
        <v>283</v>
      </c>
      <c r="F77" s="19" t="s">
        <v>373</v>
      </c>
      <c r="G77" s="19" t="s">
        <v>341</v>
      </c>
      <c r="H77" s="20">
        <v>156.64</v>
      </c>
      <c r="I77" s="19"/>
      <c r="J77" s="19" t="s">
        <v>285</v>
      </c>
      <c r="K77" s="19"/>
      <c r="L77" s="40"/>
    </row>
    <row r="78" ht="21" customHeight="1" spans="1:12" x14ac:dyDescent="0.25">
      <c r="A78" s="22" t="s">
        <v>96</v>
      </c>
      <c r="B78" s="22" t="s">
        <v>372</v>
      </c>
      <c r="C78" s="22" t="s">
        <v>38</v>
      </c>
      <c r="D78" s="22" t="s">
        <v>282</v>
      </c>
      <c r="E78" s="22" t="s">
        <v>287</v>
      </c>
      <c r="F78" s="22" t="s">
        <v>342</v>
      </c>
      <c r="G78" s="22" t="s">
        <v>306</v>
      </c>
      <c r="H78" s="23">
        <v>87.77</v>
      </c>
      <c r="I78" s="22"/>
      <c r="J78" s="22" t="s">
        <v>285</v>
      </c>
      <c r="K78" s="22"/>
      <c r="L78" s="44"/>
    </row>
    <row r="79" ht="21" customHeight="1" spans="1:12" x14ac:dyDescent="0.25">
      <c r="A79" s="19" t="s">
        <v>96</v>
      </c>
      <c r="B79" s="19" t="s">
        <v>374</v>
      </c>
      <c r="C79" s="19" t="s">
        <v>37</v>
      </c>
      <c r="D79" s="19" t="s">
        <v>282</v>
      </c>
      <c r="E79" s="19" t="s">
        <v>283</v>
      </c>
      <c r="F79" s="19" t="s">
        <v>343</v>
      </c>
      <c r="G79" s="19" t="s">
        <v>292</v>
      </c>
      <c r="H79" s="20">
        <v>96.3</v>
      </c>
      <c r="I79" s="19"/>
      <c r="J79" s="19" t="s">
        <v>285</v>
      </c>
      <c r="K79" s="19"/>
      <c r="L79" s="40"/>
    </row>
    <row r="80" ht="21" customHeight="1" spans="1:12" x14ac:dyDescent="0.25">
      <c r="A80" s="22" t="s">
        <v>96</v>
      </c>
      <c r="B80" s="22" t="s">
        <v>237</v>
      </c>
      <c r="C80" s="22" t="s">
        <v>29</v>
      </c>
      <c r="D80" s="22" t="s">
        <v>282</v>
      </c>
      <c r="E80" s="22" t="s">
        <v>283</v>
      </c>
      <c r="F80" s="22" t="s">
        <v>375</v>
      </c>
      <c r="G80" s="22" t="s">
        <v>341</v>
      </c>
      <c r="H80" s="23">
        <v>146.99</v>
      </c>
      <c r="I80" s="22"/>
      <c r="J80" s="22" t="s">
        <v>285</v>
      </c>
      <c r="K80" s="22"/>
      <c r="L80" s="44"/>
    </row>
    <row r="81" ht="21" customHeight="1" spans="1:12" x14ac:dyDescent="0.25">
      <c r="A81" s="19" t="s">
        <v>96</v>
      </c>
      <c r="B81" s="19" t="s">
        <v>376</v>
      </c>
      <c r="C81" s="19" t="s">
        <v>34</v>
      </c>
      <c r="D81" s="19" t="s">
        <v>282</v>
      </c>
      <c r="E81" s="19" t="s">
        <v>283</v>
      </c>
      <c r="F81" s="19" t="s">
        <v>346</v>
      </c>
      <c r="G81" s="19" t="s">
        <v>135</v>
      </c>
      <c r="H81" s="20">
        <v>128.65</v>
      </c>
      <c r="I81" s="19"/>
      <c r="J81" s="19" t="s">
        <v>285</v>
      </c>
      <c r="K81" s="19"/>
      <c r="L81" s="40"/>
    </row>
    <row r="82" ht="21" customHeight="1" spans="1:12" x14ac:dyDescent="0.25">
      <c r="A82" s="22" t="s">
        <v>96</v>
      </c>
      <c r="B82" s="22" t="s">
        <v>241</v>
      </c>
      <c r="C82" s="22" t="s">
        <v>29</v>
      </c>
      <c r="D82" s="22" t="s">
        <v>282</v>
      </c>
      <c r="E82" s="22" t="s">
        <v>283</v>
      </c>
      <c r="F82" s="22" t="s">
        <v>377</v>
      </c>
      <c r="G82" s="22" t="s">
        <v>341</v>
      </c>
      <c r="H82" s="23">
        <v>142.27</v>
      </c>
      <c r="I82" s="22"/>
      <c r="J82" s="22" t="s">
        <v>285</v>
      </c>
      <c r="K82" s="22"/>
      <c r="L82" s="44"/>
    </row>
    <row r="83" ht="21" customHeight="1" spans="1:12" x14ac:dyDescent="0.25">
      <c r="A83" s="19" t="s">
        <v>96</v>
      </c>
      <c r="B83" s="19" t="s">
        <v>378</v>
      </c>
      <c r="C83" s="19" t="s">
        <v>32</v>
      </c>
      <c r="D83" s="19" t="s">
        <v>282</v>
      </c>
      <c r="E83" s="19" t="s">
        <v>287</v>
      </c>
      <c r="F83" s="19" t="s">
        <v>314</v>
      </c>
      <c r="G83" s="19" t="s">
        <v>315</v>
      </c>
      <c r="H83" s="20">
        <v>250</v>
      </c>
      <c r="I83" s="19"/>
      <c r="J83" s="19" t="s">
        <v>316</v>
      </c>
      <c r="K83" s="19"/>
      <c r="L83" s="40"/>
    </row>
    <row r="84" ht="21" customHeight="1" spans="1:12" x14ac:dyDescent="0.25">
      <c r="A84" s="22" t="s">
        <v>96</v>
      </c>
      <c r="B84" s="22" t="s">
        <v>243</v>
      </c>
      <c r="C84" s="22" t="s">
        <v>29</v>
      </c>
      <c r="D84" s="22" t="s">
        <v>282</v>
      </c>
      <c r="E84" s="22" t="s">
        <v>283</v>
      </c>
      <c r="F84" s="22" t="s">
        <v>373</v>
      </c>
      <c r="G84" s="22" t="s">
        <v>341</v>
      </c>
      <c r="H84" s="23">
        <v>168.05</v>
      </c>
      <c r="I84" s="22"/>
      <c r="J84" s="22" t="s">
        <v>285</v>
      </c>
      <c r="K84" s="22"/>
      <c r="L84" s="44"/>
    </row>
    <row r="85" ht="21" customHeight="1" spans="1:12" x14ac:dyDescent="0.25">
      <c r="A85" s="19" t="s">
        <v>96</v>
      </c>
      <c r="B85" s="19" t="s">
        <v>243</v>
      </c>
      <c r="C85" s="19" t="s">
        <v>31</v>
      </c>
      <c r="D85" s="19" t="s">
        <v>282</v>
      </c>
      <c r="E85" s="19" t="s">
        <v>283</v>
      </c>
      <c r="F85" s="19" t="s">
        <v>352</v>
      </c>
      <c r="G85" s="19" t="s">
        <v>322</v>
      </c>
      <c r="H85" s="20">
        <v>227.05</v>
      </c>
      <c r="I85" s="19"/>
      <c r="J85" s="19" t="s">
        <v>285</v>
      </c>
      <c r="K85" s="19"/>
      <c r="L85" s="40"/>
    </row>
    <row r="86" ht="21" customHeight="1" spans="1:12" x14ac:dyDescent="0.25">
      <c r="A86" s="22" t="s">
        <v>96</v>
      </c>
      <c r="B86" s="22" t="s">
        <v>249</v>
      </c>
      <c r="C86" s="22" t="s">
        <v>29</v>
      </c>
      <c r="D86" s="22" t="s">
        <v>282</v>
      </c>
      <c r="E86" s="22" t="s">
        <v>283</v>
      </c>
      <c r="F86" s="22" t="s">
        <v>366</v>
      </c>
      <c r="G86" s="22" t="s">
        <v>341</v>
      </c>
      <c r="H86" s="23">
        <v>135.07</v>
      </c>
      <c r="I86" s="22"/>
      <c r="J86" s="22" t="s">
        <v>285</v>
      </c>
      <c r="K86" s="22"/>
      <c r="L86" s="44"/>
    </row>
    <row r="87" ht="21" customHeight="1" spans="1:12" x14ac:dyDescent="0.25">
      <c r="A87" s="19" t="s">
        <v>96</v>
      </c>
      <c r="B87" s="19" t="s">
        <v>379</v>
      </c>
      <c r="C87" s="19" t="s">
        <v>35</v>
      </c>
      <c r="D87" s="19" t="s">
        <v>282</v>
      </c>
      <c r="E87" s="19" t="s">
        <v>283</v>
      </c>
      <c r="F87" s="19" t="s">
        <v>298</v>
      </c>
      <c r="G87" s="19" t="s">
        <v>299</v>
      </c>
      <c r="H87" s="20">
        <v>110.52</v>
      </c>
      <c r="I87" s="19"/>
      <c r="J87" s="19" t="s">
        <v>285</v>
      </c>
      <c r="K87" s="19"/>
      <c r="L87" s="40"/>
    </row>
    <row r="88" ht="21" customHeight="1" spans="1:12" x14ac:dyDescent="0.25">
      <c r="A88" s="22" t="s">
        <v>96</v>
      </c>
      <c r="B88" s="22" t="s">
        <v>380</v>
      </c>
      <c r="C88" s="22" t="s">
        <v>29</v>
      </c>
      <c r="D88" s="22" t="s">
        <v>282</v>
      </c>
      <c r="E88" s="22" t="s">
        <v>283</v>
      </c>
      <c r="F88" s="22" t="s">
        <v>373</v>
      </c>
      <c r="G88" s="22" t="s">
        <v>341</v>
      </c>
      <c r="H88" s="23">
        <v>167.81</v>
      </c>
      <c r="I88" s="22"/>
      <c r="J88" s="22" t="s">
        <v>285</v>
      </c>
      <c r="K88" s="22"/>
      <c r="L88" s="44"/>
    </row>
    <row r="89" ht="21" customHeight="1" spans="1:12" x14ac:dyDescent="0.25">
      <c r="A89" s="19" t="s">
        <v>96</v>
      </c>
      <c r="B89" s="19" t="s">
        <v>257</v>
      </c>
      <c r="C89" s="19" t="s">
        <v>29</v>
      </c>
      <c r="D89" s="19" t="s">
        <v>282</v>
      </c>
      <c r="E89" s="19" t="s">
        <v>283</v>
      </c>
      <c r="F89" s="19" t="s">
        <v>381</v>
      </c>
      <c r="G89" s="19" t="s">
        <v>341</v>
      </c>
      <c r="H89" s="20">
        <v>155.87</v>
      </c>
      <c r="I89" s="19"/>
      <c r="J89" s="19" t="s">
        <v>285</v>
      </c>
      <c r="K89" s="19"/>
      <c r="L89" s="40"/>
    </row>
    <row r="90" ht="21" customHeight="1" spans="1:12" x14ac:dyDescent="0.25">
      <c r="A90" s="22" t="s">
        <v>96</v>
      </c>
      <c r="B90" s="22" t="s">
        <v>257</v>
      </c>
      <c r="C90" s="22" t="s">
        <v>39</v>
      </c>
      <c r="D90" s="22" t="s">
        <v>282</v>
      </c>
      <c r="E90" s="22" t="s">
        <v>287</v>
      </c>
      <c r="F90" s="22" t="s">
        <v>327</v>
      </c>
      <c r="G90" s="22" t="s">
        <v>328</v>
      </c>
      <c r="H90" s="23">
        <v>95</v>
      </c>
      <c r="I90" s="22"/>
      <c r="J90" s="22" t="s">
        <v>316</v>
      </c>
      <c r="K90" s="22"/>
      <c r="L90" s="44"/>
    </row>
    <row r="91" ht="21" customHeight="1" spans="1:12" x14ac:dyDescent="0.25">
      <c r="A91" s="19" t="s">
        <v>96</v>
      </c>
      <c r="B91" s="19" t="s">
        <v>257</v>
      </c>
      <c r="C91" s="19" t="s">
        <v>41</v>
      </c>
      <c r="D91" s="19" t="s">
        <v>282</v>
      </c>
      <c r="E91" s="19" t="s">
        <v>287</v>
      </c>
      <c r="F91" s="19" t="s">
        <v>329</v>
      </c>
      <c r="G91" s="19" t="s">
        <v>330</v>
      </c>
      <c r="H91" s="20">
        <v>39</v>
      </c>
      <c r="I91" s="19"/>
      <c r="J91" s="19" t="s">
        <v>316</v>
      </c>
      <c r="K91" s="19"/>
      <c r="L91" s="40"/>
    </row>
    <row r="92" ht="21" customHeight="1" spans="1:12" x14ac:dyDescent="0.25">
      <c r="A92" s="22" t="s">
        <v>96</v>
      </c>
      <c r="B92" s="22" t="s">
        <v>382</v>
      </c>
      <c r="C92" s="22" t="s">
        <v>33</v>
      </c>
      <c r="D92" s="22" t="s">
        <v>282</v>
      </c>
      <c r="E92" s="22" t="s">
        <v>287</v>
      </c>
      <c r="F92" s="22" t="s">
        <v>332</v>
      </c>
      <c r="G92" s="22" t="s">
        <v>333</v>
      </c>
      <c r="H92" s="23">
        <v>225</v>
      </c>
      <c r="I92" s="22"/>
      <c r="J92" s="22" t="s">
        <v>316</v>
      </c>
      <c r="K92" s="22"/>
      <c r="L92" s="44"/>
    </row>
    <row r="93" ht="21" customHeight="1" spans="1:12" x14ac:dyDescent="0.25">
      <c r="A93" s="19" t="s">
        <v>96</v>
      </c>
      <c r="B93" s="19" t="s">
        <v>382</v>
      </c>
      <c r="C93" s="19" t="s">
        <v>30</v>
      </c>
      <c r="D93" s="19" t="s">
        <v>282</v>
      </c>
      <c r="E93" s="19" t="s">
        <v>287</v>
      </c>
      <c r="F93" s="19" t="s">
        <v>334</v>
      </c>
      <c r="G93" s="19" t="s">
        <v>335</v>
      </c>
      <c r="H93" s="20">
        <v>685</v>
      </c>
      <c r="I93" s="19"/>
      <c r="J93" s="19" t="s">
        <v>316</v>
      </c>
      <c r="K93" s="19"/>
      <c r="L93" s="40"/>
    </row>
    <row r="94" ht="21" customHeight="1" spans="1:12" x14ac:dyDescent="0.25">
      <c r="A94" s="22" t="s">
        <v>96</v>
      </c>
      <c r="B94" s="22" t="s">
        <v>382</v>
      </c>
      <c r="C94" s="22" t="s">
        <v>336</v>
      </c>
      <c r="D94" s="22" t="s">
        <v>337</v>
      </c>
      <c r="E94" s="22" t="s">
        <v>287</v>
      </c>
      <c r="F94" s="22" t="s">
        <v>358</v>
      </c>
      <c r="G94" s="22" t="s">
        <v>339</v>
      </c>
      <c r="H94" s="23">
        <v>1285</v>
      </c>
      <c r="I94" s="22"/>
      <c r="J94" s="22" t="s">
        <v>316</v>
      </c>
      <c r="K94" s="22"/>
      <c r="L94" s="44"/>
    </row>
  </sheetData>
  <autoFilter ref="A10:L10"/>
  <mergeCells count="18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B9"/>
    <mergeCell ref="C9:E9"/>
    <mergeCell ref="F9:H9"/>
    <mergeCell ref="I9:L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&amp;LExpenses - Unit 101 - 2026&amp;ROnRoad Books</oddHeader>
    <oddFooter>Confidential  •  Prepared from the business ledger  | 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A000"/>
    <pageSetUpPr fitToPage="1"/>
  </sheetPr>
  <dimension ref="A1:H4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24" customWidth="1"/>
    <col min="2" max="2" width="13" customWidth="1"/>
    <col min="3" max="3" width="16" customWidth="1"/>
    <col min="4" max="4" width="11" customWidth="1"/>
    <col min="5" max="5" width="14" customWidth="1"/>
    <col min="6" max="6" width="12" customWidth="1"/>
    <col min="7" max="7" width="11" customWidth="1"/>
    <col min="8" max="8" width="18" customWidth="1"/>
  </cols>
  <sheetData>
    <row r="1" ht="38" customHeight="1" spans="1:8" x14ac:dyDescent="0.25">
      <c r="A1" s="31" t="s">
        <v>383</v>
      </c>
      <c r="B1" s="31"/>
      <c r="C1" s="31"/>
      <c r="D1" s="31"/>
      <c r="E1" s="31"/>
      <c r="F1" s="31"/>
      <c r="G1" s="31"/>
      <c r="H1" s="31"/>
    </row>
    <row r="2" ht="22" customHeight="1" spans="1:8" x14ac:dyDescent="0.25">
      <c r="A2" s="32" t="s">
        <v>52</v>
      </c>
      <c r="B2" s="32"/>
      <c r="C2" s="32"/>
      <c r="D2" s="32"/>
      <c r="E2" s="32"/>
      <c r="F2" s="32"/>
      <c r="G2" s="32"/>
      <c r="H2" s="32"/>
    </row>
    <row r="3" ht="8" customHeight="1" x14ac:dyDescent="0.25"/>
    <row r="4" ht="26" customHeight="1" spans="1:8" x14ac:dyDescent="0.25">
      <c r="A4" s="47" t="s">
        <v>384</v>
      </c>
      <c r="B4" s="47"/>
      <c r="C4" s="3" t="s">
        <v>385</v>
      </c>
      <c r="D4" s="3"/>
      <c r="E4" s="48" t="s">
        <v>386</v>
      </c>
      <c r="F4" s="48"/>
      <c r="G4" s="5" t="s">
        <v>387</v>
      </c>
      <c r="H4" s="5"/>
    </row>
    <row r="5" ht="22" customHeight="1" spans="1:8" x14ac:dyDescent="0.25">
      <c r="A5" s="49">
        <v>4848.150000000001</v>
      </c>
      <c r="B5" s="49"/>
      <c r="C5" s="51">
        <v>1237.4000000000003</v>
      </c>
      <c r="D5" s="51"/>
      <c r="E5" s="52">
        <v>3.918013576854695</v>
      </c>
      <c r="F5" s="52"/>
      <c r="G5" s="8">
        <v>30</v>
      </c>
      <c r="H5" s="8"/>
    </row>
    <row r="6" ht="22" customHeight="1" spans="1:8" x14ac:dyDescent="0.25">
      <c r="A6" s="49"/>
      <c r="B6" s="49"/>
      <c r="C6" s="51"/>
      <c r="D6" s="51"/>
      <c r="E6" s="52"/>
      <c r="F6" s="52"/>
      <c r="G6" s="8"/>
      <c r="H6" s="8"/>
    </row>
    <row r="7" ht="24" customHeight="1" spans="1:8" x14ac:dyDescent="0.25">
      <c r="A7" s="9" t="s">
        <v>388</v>
      </c>
      <c r="B7" s="9"/>
      <c r="C7" s="9" t="s">
        <v>389</v>
      </c>
      <c r="D7" s="9"/>
      <c r="E7" s="9" t="s">
        <v>390</v>
      </c>
      <c r="F7" s="9"/>
      <c r="G7" s="9" t="s">
        <v>391</v>
      </c>
      <c r="H7" s="9"/>
    </row>
    <row r="8" ht="10" customHeight="1" x14ac:dyDescent="0.25"/>
    <row r="9" ht="22" customHeight="1" spans="1:8" x14ac:dyDescent="0.25">
      <c r="A9" s="33" t="s">
        <v>392</v>
      </c>
      <c r="B9" s="33"/>
      <c r="C9" s="33"/>
      <c r="D9" s="33"/>
      <c r="E9" s="33"/>
      <c r="F9" s="33"/>
      <c r="G9" s="34" t="s">
        <v>393</v>
      </c>
      <c r="H9" s="34"/>
    </row>
    <row r="10" ht="32" customHeight="1" spans="1:8" s="35" customFormat="1" x14ac:dyDescent="0.25">
      <c r="A10" s="35" t="s">
        <v>67</v>
      </c>
      <c r="B10" s="35" t="s">
        <v>273</v>
      </c>
      <c r="C10" s="35" t="s">
        <v>394</v>
      </c>
      <c r="D10" s="35" t="s">
        <v>395</v>
      </c>
      <c r="E10" s="35" t="s">
        <v>396</v>
      </c>
      <c r="F10" s="35" t="s">
        <v>397</v>
      </c>
      <c r="G10" s="35" t="s">
        <v>398</v>
      </c>
      <c r="H10" s="35" t="s">
        <v>280</v>
      </c>
    </row>
    <row r="11" ht="21" customHeight="1" spans="1:8" x14ac:dyDescent="0.25">
      <c r="A11" s="19" t="s">
        <v>96</v>
      </c>
      <c r="B11" s="19" t="s">
        <v>97</v>
      </c>
      <c r="C11" s="19" t="s">
        <v>101</v>
      </c>
      <c r="D11" s="38">
        <v>39.4</v>
      </c>
      <c r="E11" s="53">
        <v>3.869</v>
      </c>
      <c r="F11" s="20">
        <v>152.44</v>
      </c>
      <c r="G11" s="36">
        <v>144575</v>
      </c>
      <c r="H11" s="19"/>
    </row>
    <row r="12" ht="21" customHeight="1" spans="1:8" x14ac:dyDescent="0.25">
      <c r="A12" s="22" t="s">
        <v>96</v>
      </c>
      <c r="B12" s="22" t="s">
        <v>113</v>
      </c>
      <c r="C12" s="22" t="s">
        <v>116</v>
      </c>
      <c r="D12" s="43">
        <v>41.5</v>
      </c>
      <c r="E12" s="54">
        <v>3.789</v>
      </c>
      <c r="F12" s="23">
        <v>157.24</v>
      </c>
      <c r="G12" s="41">
        <v>144225</v>
      </c>
      <c r="H12" s="22"/>
    </row>
    <row r="13" ht="21" customHeight="1" spans="1:8" x14ac:dyDescent="0.25">
      <c r="A13" s="19" t="s">
        <v>96</v>
      </c>
      <c r="B13" s="19" t="s">
        <v>129</v>
      </c>
      <c r="C13" s="19" t="s">
        <v>132</v>
      </c>
      <c r="D13" s="38">
        <v>43.7</v>
      </c>
      <c r="E13" s="53">
        <v>4.099</v>
      </c>
      <c r="F13" s="20">
        <v>179.13</v>
      </c>
      <c r="G13" s="36">
        <v>143860</v>
      </c>
      <c r="H13" s="19"/>
    </row>
    <row r="14" ht="21" customHeight="1" spans="1:8" x14ac:dyDescent="0.25">
      <c r="A14" s="22" t="s">
        <v>96</v>
      </c>
      <c r="B14" s="22" t="s">
        <v>141</v>
      </c>
      <c r="C14" s="22" t="s">
        <v>140</v>
      </c>
      <c r="D14" s="43">
        <v>38.9</v>
      </c>
      <c r="E14" s="54">
        <v>3.829</v>
      </c>
      <c r="F14" s="23">
        <v>148.95</v>
      </c>
      <c r="G14" s="41">
        <v>143468</v>
      </c>
      <c r="H14" s="22"/>
    </row>
    <row r="15" ht="21" customHeight="1" spans="1:8" x14ac:dyDescent="0.25">
      <c r="A15" s="19" t="s">
        <v>96</v>
      </c>
      <c r="B15" s="19" t="s">
        <v>148</v>
      </c>
      <c r="C15" s="19" t="s">
        <v>111</v>
      </c>
      <c r="D15" s="38">
        <v>45.2</v>
      </c>
      <c r="E15" s="53">
        <v>3.959</v>
      </c>
      <c r="F15" s="20">
        <v>178.95</v>
      </c>
      <c r="G15" s="36">
        <v>143132</v>
      </c>
      <c r="H15" s="19"/>
    </row>
    <row r="16" ht="21" customHeight="1" spans="1:8" x14ac:dyDescent="0.25">
      <c r="A16" s="22" t="s">
        <v>96</v>
      </c>
      <c r="B16" s="22" t="s">
        <v>319</v>
      </c>
      <c r="C16" s="22" t="s">
        <v>127</v>
      </c>
      <c r="D16" s="43">
        <v>40.8</v>
      </c>
      <c r="E16" s="54">
        <v>3.849</v>
      </c>
      <c r="F16" s="23">
        <v>157.04</v>
      </c>
      <c r="G16" s="41">
        <v>142730</v>
      </c>
      <c r="H16" s="22"/>
    </row>
    <row r="17" ht="21" customHeight="1" spans="1:8" x14ac:dyDescent="0.25">
      <c r="A17" s="19" t="s">
        <v>96</v>
      </c>
      <c r="B17" s="19" t="s">
        <v>159</v>
      </c>
      <c r="C17" s="19" t="s">
        <v>132</v>
      </c>
      <c r="D17" s="38">
        <v>44.1</v>
      </c>
      <c r="E17" s="53">
        <v>4.129</v>
      </c>
      <c r="F17" s="20">
        <v>182.09</v>
      </c>
      <c r="G17" s="36">
        <v>142368</v>
      </c>
      <c r="H17" s="19"/>
    </row>
    <row r="18" ht="21" customHeight="1" spans="1:8" x14ac:dyDescent="0.25">
      <c r="A18" s="22" t="s">
        <v>96</v>
      </c>
      <c r="B18" s="22" t="s">
        <v>164</v>
      </c>
      <c r="C18" s="22" t="s">
        <v>100</v>
      </c>
      <c r="D18" s="43">
        <v>42.6</v>
      </c>
      <c r="E18" s="54">
        <v>3.899</v>
      </c>
      <c r="F18" s="23">
        <v>166.1</v>
      </c>
      <c r="G18" s="41">
        <v>141980</v>
      </c>
      <c r="H18" s="22"/>
    </row>
    <row r="19" ht="21" customHeight="1" spans="1:8" x14ac:dyDescent="0.25">
      <c r="A19" s="19" t="s">
        <v>96</v>
      </c>
      <c r="B19" s="19" t="s">
        <v>173</v>
      </c>
      <c r="C19" s="19" t="s">
        <v>116</v>
      </c>
      <c r="D19" s="38">
        <v>49.2</v>
      </c>
      <c r="E19" s="53">
        <v>3.9</v>
      </c>
      <c r="F19" s="20">
        <v>191.88</v>
      </c>
      <c r="G19" s="36">
        <v>141349</v>
      </c>
      <c r="H19" s="19"/>
    </row>
    <row r="20" ht="21" customHeight="1" spans="1:8" x14ac:dyDescent="0.25">
      <c r="A20" s="22" t="s">
        <v>96</v>
      </c>
      <c r="B20" s="22" t="s">
        <v>344</v>
      </c>
      <c r="C20" s="22" t="s">
        <v>111</v>
      </c>
      <c r="D20" s="43">
        <v>46.4</v>
      </c>
      <c r="E20" s="54">
        <v>3.729</v>
      </c>
      <c r="F20" s="23">
        <v>173.03</v>
      </c>
      <c r="G20" s="41">
        <v>140901</v>
      </c>
      <c r="H20" s="22"/>
    </row>
    <row r="21" ht="21" customHeight="1" spans="1:8" x14ac:dyDescent="0.25">
      <c r="A21" s="19" t="s">
        <v>96</v>
      </c>
      <c r="B21" s="19" t="s">
        <v>349</v>
      </c>
      <c r="C21" s="19" t="s">
        <v>101</v>
      </c>
      <c r="D21" s="38">
        <v>52.3</v>
      </c>
      <c r="E21" s="53">
        <v>3.811</v>
      </c>
      <c r="F21" s="20">
        <v>199.32</v>
      </c>
      <c r="G21" s="36">
        <v>140453</v>
      </c>
      <c r="H21" s="19"/>
    </row>
    <row r="22" ht="21" customHeight="1" spans="1:8" x14ac:dyDescent="0.25">
      <c r="A22" s="22" t="s">
        <v>96</v>
      </c>
      <c r="B22" s="22" t="s">
        <v>185</v>
      </c>
      <c r="C22" s="22" t="s">
        <v>111</v>
      </c>
      <c r="D22" s="43">
        <v>53.8</v>
      </c>
      <c r="E22" s="54">
        <v>3.96</v>
      </c>
      <c r="F22" s="23">
        <v>213.05</v>
      </c>
      <c r="G22" s="41">
        <v>140005</v>
      </c>
      <c r="H22" s="22"/>
    </row>
    <row r="23" ht="21" customHeight="1" spans="1:8" x14ac:dyDescent="0.25">
      <c r="A23" s="19" t="s">
        <v>96</v>
      </c>
      <c r="B23" s="19" t="s">
        <v>189</v>
      </c>
      <c r="C23" s="19" t="s">
        <v>111</v>
      </c>
      <c r="D23" s="38">
        <v>49.6</v>
      </c>
      <c r="E23" s="53">
        <v>4.162</v>
      </c>
      <c r="F23" s="20">
        <v>206.44</v>
      </c>
      <c r="G23" s="36">
        <v>139557</v>
      </c>
      <c r="H23" s="19"/>
    </row>
    <row r="24" ht="21" customHeight="1" spans="1:8" x14ac:dyDescent="0.25">
      <c r="A24" s="22" t="s">
        <v>96</v>
      </c>
      <c r="B24" s="22" t="s">
        <v>354</v>
      </c>
      <c r="C24" s="22" t="s">
        <v>100</v>
      </c>
      <c r="D24" s="43">
        <v>48.9</v>
      </c>
      <c r="E24" s="54">
        <v>3.997</v>
      </c>
      <c r="F24" s="23">
        <v>195.45</v>
      </c>
      <c r="G24" s="41">
        <v>139109</v>
      </c>
      <c r="H24" s="22"/>
    </row>
    <row r="25" ht="21" customHeight="1" spans="1:8" x14ac:dyDescent="0.25">
      <c r="A25" s="19" t="s">
        <v>96</v>
      </c>
      <c r="B25" s="19" t="s">
        <v>356</v>
      </c>
      <c r="C25" s="19" t="s">
        <v>100</v>
      </c>
      <c r="D25" s="38">
        <v>48.7</v>
      </c>
      <c r="E25" s="53">
        <v>4.153</v>
      </c>
      <c r="F25" s="20">
        <v>202.25</v>
      </c>
      <c r="G25" s="36">
        <v>138661</v>
      </c>
      <c r="H25" s="19"/>
    </row>
    <row r="26" ht="21" customHeight="1" spans="1:8" x14ac:dyDescent="0.25">
      <c r="A26" s="22" t="s">
        <v>96</v>
      </c>
      <c r="B26" s="22" t="s">
        <v>359</v>
      </c>
      <c r="C26" s="22" t="s">
        <v>100</v>
      </c>
      <c r="D26" s="43">
        <v>33.7</v>
      </c>
      <c r="E26" s="54">
        <v>3.75</v>
      </c>
      <c r="F26" s="23">
        <v>126.38</v>
      </c>
      <c r="G26" s="41">
        <v>138213</v>
      </c>
      <c r="H26" s="22"/>
    </row>
    <row r="27" ht="21" customHeight="1" spans="1:8" x14ac:dyDescent="0.25">
      <c r="A27" s="19" t="s">
        <v>96</v>
      </c>
      <c r="B27" s="19" t="s">
        <v>207</v>
      </c>
      <c r="C27" s="19" t="s">
        <v>127</v>
      </c>
      <c r="D27" s="38">
        <v>34.6</v>
      </c>
      <c r="E27" s="53">
        <v>3.805</v>
      </c>
      <c r="F27" s="20">
        <v>131.65</v>
      </c>
      <c r="G27" s="36">
        <v>137908</v>
      </c>
      <c r="H27" s="19"/>
    </row>
    <row r="28" ht="21" customHeight="1" spans="1:8" x14ac:dyDescent="0.25">
      <c r="A28" s="22" t="s">
        <v>96</v>
      </c>
      <c r="B28" s="22" t="s">
        <v>363</v>
      </c>
      <c r="C28" s="22" t="s">
        <v>132</v>
      </c>
      <c r="D28" s="43">
        <v>36.5</v>
      </c>
      <c r="E28" s="54">
        <v>3.93</v>
      </c>
      <c r="F28" s="23">
        <v>143.45</v>
      </c>
      <c r="G28" s="41">
        <v>137603</v>
      </c>
      <c r="H28" s="22"/>
    </row>
    <row r="29" ht="21" customHeight="1" spans="1:8" x14ac:dyDescent="0.25">
      <c r="A29" s="19" t="s">
        <v>96</v>
      </c>
      <c r="B29" s="19" t="s">
        <v>365</v>
      </c>
      <c r="C29" s="19" t="s">
        <v>140</v>
      </c>
      <c r="D29" s="38">
        <v>35.6</v>
      </c>
      <c r="E29" s="53">
        <v>3.961</v>
      </c>
      <c r="F29" s="20">
        <v>141.01</v>
      </c>
      <c r="G29" s="36">
        <v>137298</v>
      </c>
      <c r="H29" s="19"/>
    </row>
    <row r="30" ht="21" customHeight="1" spans="1:8" x14ac:dyDescent="0.25">
      <c r="A30" s="22" t="s">
        <v>96</v>
      </c>
      <c r="B30" s="22" t="s">
        <v>215</v>
      </c>
      <c r="C30" s="22" t="s">
        <v>100</v>
      </c>
      <c r="D30" s="43">
        <v>31.9</v>
      </c>
      <c r="E30" s="54">
        <v>3.793</v>
      </c>
      <c r="F30" s="23">
        <v>121</v>
      </c>
      <c r="G30" s="41">
        <v>136993</v>
      </c>
      <c r="H30" s="22"/>
    </row>
    <row r="31" ht="21" customHeight="1" spans="1:8" x14ac:dyDescent="0.25">
      <c r="A31" s="19" t="s">
        <v>96</v>
      </c>
      <c r="B31" s="19" t="s">
        <v>221</v>
      </c>
      <c r="C31" s="19" t="s">
        <v>132</v>
      </c>
      <c r="D31" s="38">
        <v>35.5</v>
      </c>
      <c r="E31" s="53">
        <v>3.767</v>
      </c>
      <c r="F31" s="20">
        <v>133.73</v>
      </c>
      <c r="G31" s="36">
        <v>136688</v>
      </c>
      <c r="H31" s="19"/>
    </row>
    <row r="32" ht="21" customHeight="1" spans="1:8" x14ac:dyDescent="0.25">
      <c r="A32" s="22" t="s">
        <v>96</v>
      </c>
      <c r="B32" s="22" t="s">
        <v>225</v>
      </c>
      <c r="C32" s="22" t="s">
        <v>140</v>
      </c>
      <c r="D32" s="43">
        <v>32.6</v>
      </c>
      <c r="E32" s="54">
        <v>4.087</v>
      </c>
      <c r="F32" s="23">
        <v>133.24</v>
      </c>
      <c r="G32" s="41">
        <v>136383</v>
      </c>
      <c r="H32" s="22"/>
    </row>
    <row r="33" ht="21" customHeight="1" spans="1:8" x14ac:dyDescent="0.25">
      <c r="A33" s="19" t="s">
        <v>96</v>
      </c>
      <c r="B33" s="19" t="s">
        <v>370</v>
      </c>
      <c r="C33" s="19" t="s">
        <v>100</v>
      </c>
      <c r="D33" s="38">
        <v>37.9</v>
      </c>
      <c r="E33" s="53">
        <v>3.737</v>
      </c>
      <c r="F33" s="20">
        <v>141.63</v>
      </c>
      <c r="G33" s="36">
        <v>136078</v>
      </c>
      <c r="H33" s="19"/>
    </row>
    <row r="34" ht="21" customHeight="1" spans="1:8" x14ac:dyDescent="0.25">
      <c r="A34" s="22" t="s">
        <v>96</v>
      </c>
      <c r="B34" s="22" t="s">
        <v>372</v>
      </c>
      <c r="C34" s="22" t="s">
        <v>111</v>
      </c>
      <c r="D34" s="43">
        <v>41.2</v>
      </c>
      <c r="E34" s="54">
        <v>3.802</v>
      </c>
      <c r="F34" s="23">
        <v>156.64</v>
      </c>
      <c r="G34" s="41">
        <v>135773</v>
      </c>
      <c r="H34" s="22"/>
    </row>
    <row r="35" ht="21" customHeight="1" spans="1:8" x14ac:dyDescent="0.25">
      <c r="A35" s="19" t="s">
        <v>96</v>
      </c>
      <c r="B35" s="19" t="s">
        <v>237</v>
      </c>
      <c r="C35" s="19" t="s">
        <v>132</v>
      </c>
      <c r="D35" s="38">
        <v>38.5</v>
      </c>
      <c r="E35" s="53">
        <v>3.818</v>
      </c>
      <c r="F35" s="20">
        <v>146.99</v>
      </c>
      <c r="G35" s="36">
        <v>135434</v>
      </c>
      <c r="H35" s="19"/>
    </row>
    <row r="36" ht="21" customHeight="1" spans="1:8" x14ac:dyDescent="0.25">
      <c r="A36" s="22" t="s">
        <v>96</v>
      </c>
      <c r="B36" s="22" t="s">
        <v>241</v>
      </c>
      <c r="C36" s="22" t="s">
        <v>111</v>
      </c>
      <c r="D36" s="43">
        <v>35.4</v>
      </c>
      <c r="E36" s="54">
        <v>4.019</v>
      </c>
      <c r="F36" s="23">
        <v>142.27</v>
      </c>
      <c r="G36" s="41">
        <v>135095</v>
      </c>
      <c r="H36" s="22"/>
    </row>
    <row r="37" ht="21" customHeight="1" spans="1:8" x14ac:dyDescent="0.25">
      <c r="A37" s="19" t="s">
        <v>96</v>
      </c>
      <c r="B37" s="19" t="s">
        <v>243</v>
      </c>
      <c r="C37" s="19" t="s">
        <v>116</v>
      </c>
      <c r="D37" s="38">
        <v>41.2</v>
      </c>
      <c r="E37" s="53">
        <v>4.079</v>
      </c>
      <c r="F37" s="20">
        <v>168.05</v>
      </c>
      <c r="G37" s="36">
        <v>134756</v>
      </c>
      <c r="H37" s="19"/>
    </row>
    <row r="38" ht="21" customHeight="1" spans="1:8" x14ac:dyDescent="0.25">
      <c r="A38" s="22" t="s">
        <v>96</v>
      </c>
      <c r="B38" s="22" t="s">
        <v>249</v>
      </c>
      <c r="C38" s="22" t="s">
        <v>127</v>
      </c>
      <c r="D38" s="43">
        <v>35.6</v>
      </c>
      <c r="E38" s="54">
        <v>3.794</v>
      </c>
      <c r="F38" s="23">
        <v>135.07</v>
      </c>
      <c r="G38" s="41">
        <v>134417</v>
      </c>
      <c r="H38" s="22"/>
    </row>
    <row r="39" ht="21" customHeight="1" spans="1:8" x14ac:dyDescent="0.25">
      <c r="A39" s="19" t="s">
        <v>96</v>
      </c>
      <c r="B39" s="19" t="s">
        <v>380</v>
      </c>
      <c r="C39" s="19" t="s">
        <v>100</v>
      </c>
      <c r="D39" s="38">
        <v>41.2</v>
      </c>
      <c r="E39" s="53">
        <v>4.073</v>
      </c>
      <c r="F39" s="20">
        <v>167.81</v>
      </c>
      <c r="G39" s="36">
        <v>134078</v>
      </c>
      <c r="H39" s="19"/>
    </row>
    <row r="40" ht="21" customHeight="1" spans="1:8" x14ac:dyDescent="0.25">
      <c r="A40" s="22" t="s">
        <v>96</v>
      </c>
      <c r="B40" s="22" t="s">
        <v>257</v>
      </c>
      <c r="C40" s="22" t="s">
        <v>127</v>
      </c>
      <c r="D40" s="43">
        <v>40.9</v>
      </c>
      <c r="E40" s="54">
        <v>3.811</v>
      </c>
      <c r="F40" s="23">
        <v>155.87</v>
      </c>
      <c r="G40" s="41">
        <v>133739</v>
      </c>
      <c r="H40" s="22"/>
    </row>
    <row r="41" ht="9" customHeight="1" spans="1:8" x14ac:dyDescent="0.25">
      <c r="A41" s="55"/>
      <c r="B41" s="55"/>
      <c r="C41" s="55"/>
      <c r="D41" s="55"/>
      <c r="E41" s="55"/>
      <c r="F41" s="55"/>
      <c r="G41" s="55"/>
      <c r="H41" s="55"/>
    </row>
    <row r="42" ht="21" customHeight="1" spans="1:8" x14ac:dyDescent="0.25">
      <c r="A42" s="56" t="s">
        <v>399</v>
      </c>
      <c r="B42" s="56"/>
      <c r="C42" s="56"/>
      <c r="D42" s="57">
        <v>1237.4</v>
      </c>
      <c r="E42" s="58">
        <v>3.918</v>
      </c>
      <c r="F42" s="59">
        <v>4848.15</v>
      </c>
      <c r="G42" s="56"/>
      <c r="H42" s="56"/>
    </row>
    <row r="43" ht="21" customHeight="1" spans="1:8" x14ac:dyDescent="0.25">
      <c r="A43" s="19" t="s">
        <v>400</v>
      </c>
      <c r="B43" s="19"/>
      <c r="C43" s="19"/>
      <c r="D43" s="19"/>
      <c r="E43" s="19"/>
      <c r="F43" s="19"/>
      <c r="G43" s="19"/>
      <c r="H43" s="19"/>
    </row>
    <row r="44" ht="21" customHeight="1" spans="1:8" x14ac:dyDescent="0.25">
      <c r="A44" s="22" t="s">
        <v>401</v>
      </c>
      <c r="B44" s="22"/>
      <c r="C44" s="22"/>
      <c r="D44" s="22"/>
      <c r="E44" s="22"/>
      <c r="F44" s="22"/>
      <c r="G44" s="22"/>
      <c r="H44" s="22"/>
    </row>
  </sheetData>
  <autoFilter ref="A10:H10"/>
  <mergeCells count="1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F9"/>
    <mergeCell ref="G9:H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&amp;LFuel - Unit 101 - 2026&amp;ROnRoad Books</oddHeader>
    <oddFooter>Confidential  •  Prepared from the business ledger  | 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6A"/>
    <pageSetUpPr fitToPage="1"/>
  </sheetPr>
  <dimension ref="A1:H56"/>
  <sheetViews>
    <sheetView workbookViewId="0" showGridLines="0" zoomScale="90">
      <pane xSplit="1" ySplit="10" topLeftCell="B11" activePane="bottomRight" state="frozen"/>
      <selection pane="bottomRight"/>
    </sheetView>
  </sheetViews>
  <sheetFormatPr defaultRowHeight="18" outlineLevelRow="0" outlineLevelCol="0" x14ac:dyDescent="55" customHeight="1"/>
  <cols>
    <col min="1" max="1" width="24" customWidth="1"/>
    <col min="2" max="2" width="11" customWidth="1"/>
    <col min="3" max="3" width="16" customWidth="1"/>
    <col min="4" max="4" width="34" customWidth="1"/>
    <col min="5" max="8" width="12" customWidth="1"/>
  </cols>
  <sheetData>
    <row r="1" ht="38" customHeight="1" spans="1:8" x14ac:dyDescent="0.25">
      <c r="A1" s="31" t="s">
        <v>402</v>
      </c>
      <c r="B1" s="31"/>
      <c r="C1" s="31"/>
      <c r="D1" s="31"/>
      <c r="E1" s="31"/>
      <c r="F1" s="31"/>
      <c r="G1" s="31"/>
      <c r="H1" s="31"/>
    </row>
    <row r="2" ht="22" customHeight="1" spans="1:8" x14ac:dyDescent="0.25">
      <c r="A2" s="32" t="s">
        <v>52</v>
      </c>
      <c r="B2" s="32"/>
      <c r="C2" s="32"/>
      <c r="D2" s="32"/>
      <c r="E2" s="32"/>
      <c r="F2" s="32"/>
      <c r="G2" s="32"/>
      <c r="H2" s="32"/>
    </row>
    <row r="3" ht="8" customHeight="1" x14ac:dyDescent="0.25"/>
    <row r="4" ht="26" customHeight="1" spans="1:8" x14ac:dyDescent="0.25">
      <c r="A4" s="3" t="s">
        <v>403</v>
      </c>
      <c r="B4" s="3"/>
      <c r="C4" s="47" t="s">
        <v>261</v>
      </c>
      <c r="D4" s="47"/>
      <c r="E4" s="4" t="s">
        <v>404</v>
      </c>
      <c r="F4" s="4"/>
      <c r="G4" s="4" t="s">
        <v>4</v>
      </c>
      <c r="H4" s="4"/>
    </row>
    <row r="5" ht="22" customHeight="1" spans="1:8" x14ac:dyDescent="0.25">
      <c r="A5" s="6">
        <v>37570</v>
      </c>
      <c r="B5" s="6"/>
      <c r="C5" s="49">
        <v>14601.66</v>
      </c>
      <c r="D5" s="49"/>
      <c r="E5" s="7">
        <v>22968.34</v>
      </c>
      <c r="F5" s="7"/>
      <c r="G5" s="7">
        <v>14308.34</v>
      </c>
      <c r="H5" s="7"/>
    </row>
    <row r="6" ht="22" customHeight="1" spans="1:8" x14ac:dyDescent="0.25">
      <c r="A6" s="6"/>
      <c r="B6" s="6"/>
      <c r="C6" s="49"/>
      <c r="D6" s="49"/>
      <c r="E6" s="7"/>
      <c r="F6" s="7"/>
      <c r="G6" s="7"/>
      <c r="H6" s="7"/>
    </row>
    <row r="7" ht="24" customHeight="1" spans="1:8" x14ac:dyDescent="0.25">
      <c r="A7" s="9" t="s">
        <v>405</v>
      </c>
      <c r="B7" s="9"/>
      <c r="C7" s="9" t="s">
        <v>406</v>
      </c>
      <c r="D7" s="9"/>
      <c r="E7" s="9" t="s">
        <v>407</v>
      </c>
      <c r="F7" s="9"/>
      <c r="G7" s="9" t="s">
        <v>408</v>
      </c>
      <c r="H7" s="9"/>
    </row>
    <row r="8" ht="10" customHeight="1" x14ac:dyDescent="0.25"/>
    <row r="9" ht="22" customHeight="1" spans="1:4" x14ac:dyDescent="0.25">
      <c r="A9" s="33" t="s">
        <v>409</v>
      </c>
      <c r="B9" s="33"/>
      <c r="C9" s="33"/>
      <c r="D9" s="33"/>
    </row>
    <row r="10" ht="32" customHeight="1" spans="1:4" s="35" customFormat="1" x14ac:dyDescent="0.25">
      <c r="A10" s="35" t="s">
        <v>410</v>
      </c>
      <c r="B10" s="35" t="s">
        <v>27</v>
      </c>
      <c r="C10" s="35" t="s">
        <v>411</v>
      </c>
      <c r="D10" s="35" t="s">
        <v>95</v>
      </c>
    </row>
    <row r="11" ht="21" customHeight="1" spans="1:4" x14ac:dyDescent="0.25">
      <c r="A11" s="19" t="s">
        <v>412</v>
      </c>
      <c r="B11" s="19" t="s">
        <v>413</v>
      </c>
      <c r="C11" s="19"/>
      <c r="D11" s="40" t="s">
        <v>414</v>
      </c>
    </row>
    <row r="12" ht="21" customHeight="1" spans="1:4" x14ac:dyDescent="0.25">
      <c r="A12" s="22" t="s">
        <v>415</v>
      </c>
      <c r="B12" s="22" t="s">
        <v>416</v>
      </c>
      <c r="C12" s="22"/>
      <c r="D12" s="44" t="s">
        <v>417</v>
      </c>
    </row>
    <row r="13" ht="9" customHeight="1" spans="1:4" x14ac:dyDescent="0.25">
      <c r="A13" s="55"/>
      <c r="B13" s="55"/>
      <c r="C13" s="55"/>
      <c r="D13" s="60"/>
    </row>
    <row r="14" ht="24" customHeight="1" spans="1:4" x14ac:dyDescent="0.25">
      <c r="A14" s="61" t="s">
        <v>418</v>
      </c>
      <c r="B14" s="61"/>
      <c r="C14" s="61"/>
      <c r="D14" s="62"/>
    </row>
    <row r="15" ht="21" customHeight="1" spans="1:4" x14ac:dyDescent="0.25">
      <c r="A15" s="19" t="s">
        <v>11</v>
      </c>
      <c r="B15" s="20">
        <v>37570</v>
      </c>
      <c r="C15" s="36">
        <v>3.33</v>
      </c>
      <c r="D15" s="40" t="s">
        <v>419</v>
      </c>
    </row>
    <row r="16" ht="9" customHeight="1" spans="1:4" x14ac:dyDescent="0.25">
      <c r="A16" s="55"/>
      <c r="B16" s="55"/>
      <c r="C16" s="55"/>
      <c r="D16" s="60"/>
    </row>
    <row r="17" ht="24" customHeight="1" spans="1:4" x14ac:dyDescent="0.25">
      <c r="A17" s="61" t="s">
        <v>420</v>
      </c>
      <c r="B17" s="61"/>
      <c r="C17" s="61"/>
      <c r="D17" s="62"/>
    </row>
    <row r="18" ht="21" customHeight="1" spans="1:4" x14ac:dyDescent="0.25">
      <c r="A18" s="22" t="s">
        <v>29</v>
      </c>
      <c r="B18" s="23">
        <v>4848.15</v>
      </c>
      <c r="C18" s="41">
        <v>0.43</v>
      </c>
      <c r="D18" s="44" t="s">
        <v>283</v>
      </c>
    </row>
    <row r="19" ht="21" customHeight="1" spans="1:4" x14ac:dyDescent="0.25">
      <c r="A19" s="19" t="s">
        <v>30</v>
      </c>
      <c r="B19" s="20">
        <v>2740</v>
      </c>
      <c r="C19" s="36">
        <v>0.243</v>
      </c>
      <c r="D19" s="40" t="s">
        <v>287</v>
      </c>
    </row>
    <row r="20" ht="21" customHeight="1" spans="1:4" x14ac:dyDescent="0.25">
      <c r="A20" s="22" t="s">
        <v>31</v>
      </c>
      <c r="B20" s="23">
        <v>1180.01</v>
      </c>
      <c r="C20" s="41">
        <v>0.105</v>
      </c>
      <c r="D20" s="44" t="s">
        <v>283</v>
      </c>
    </row>
    <row r="21" ht="21" customHeight="1" spans="1:4" x14ac:dyDescent="0.25">
      <c r="A21" s="19" t="s">
        <v>32</v>
      </c>
      <c r="B21" s="20">
        <v>1000</v>
      </c>
      <c r="C21" s="36">
        <v>0.089</v>
      </c>
      <c r="D21" s="40" t="s">
        <v>287</v>
      </c>
    </row>
    <row r="22" ht="21" customHeight="1" spans="1:4" x14ac:dyDescent="0.25">
      <c r="A22" s="22" t="s">
        <v>33</v>
      </c>
      <c r="B22" s="23">
        <v>900</v>
      </c>
      <c r="C22" s="41">
        <v>0.08</v>
      </c>
      <c r="D22" s="44" t="s">
        <v>287</v>
      </c>
    </row>
    <row r="23" ht="21" customHeight="1" spans="1:4" x14ac:dyDescent="0.25">
      <c r="A23" s="19" t="s">
        <v>34</v>
      </c>
      <c r="B23" s="20">
        <v>761.74</v>
      </c>
      <c r="C23" s="36">
        <v>0.068</v>
      </c>
      <c r="D23" s="40" t="s">
        <v>283</v>
      </c>
    </row>
    <row r="24" ht="21" customHeight="1" spans="1:4" x14ac:dyDescent="0.25">
      <c r="A24" s="22" t="s">
        <v>35</v>
      </c>
      <c r="B24" s="23">
        <v>682.52</v>
      </c>
      <c r="C24" s="41">
        <v>0.06</v>
      </c>
      <c r="D24" s="44" t="s">
        <v>283</v>
      </c>
    </row>
    <row r="25" ht="21" customHeight="1" spans="1:4" x14ac:dyDescent="0.25">
      <c r="A25" s="19" t="s">
        <v>36</v>
      </c>
      <c r="B25" s="20">
        <v>643.43</v>
      </c>
      <c r="C25" s="36">
        <v>0.057</v>
      </c>
      <c r="D25" s="40" t="s">
        <v>283</v>
      </c>
    </row>
    <row r="26" ht="21" customHeight="1" spans="1:4" x14ac:dyDescent="0.25">
      <c r="A26" s="22" t="s">
        <v>37</v>
      </c>
      <c r="B26" s="23">
        <v>615.76</v>
      </c>
      <c r="C26" s="41">
        <v>0.055</v>
      </c>
      <c r="D26" s="44" t="s">
        <v>283</v>
      </c>
    </row>
    <row r="27" ht="21" customHeight="1" spans="1:4" x14ac:dyDescent="0.25">
      <c r="A27" s="19" t="s">
        <v>38</v>
      </c>
      <c r="B27" s="20">
        <v>451.05</v>
      </c>
      <c r="C27" s="36">
        <v>0.04</v>
      </c>
      <c r="D27" s="40" t="s">
        <v>287</v>
      </c>
    </row>
    <row r="28" ht="21" customHeight="1" spans="1:4" x14ac:dyDescent="0.25">
      <c r="A28" s="22" t="s">
        <v>39</v>
      </c>
      <c r="B28" s="23">
        <v>380</v>
      </c>
      <c r="C28" s="41">
        <v>0.034</v>
      </c>
      <c r="D28" s="44" t="s">
        <v>287</v>
      </c>
    </row>
    <row r="29" ht="21" customHeight="1" spans="1:4" x14ac:dyDescent="0.25">
      <c r="A29" s="19" t="s">
        <v>40</v>
      </c>
      <c r="B29" s="20">
        <v>165</v>
      </c>
      <c r="C29" s="36">
        <v>0.015</v>
      </c>
      <c r="D29" s="40" t="s">
        <v>287</v>
      </c>
    </row>
    <row r="30" ht="24" customHeight="1" spans="1:4" x14ac:dyDescent="0.25">
      <c r="A30" s="61" t="s">
        <v>41</v>
      </c>
      <c r="B30" s="63">
        <v>156</v>
      </c>
      <c r="C30" s="64">
        <v>0.014</v>
      </c>
      <c r="D30" s="62" t="s">
        <v>287</v>
      </c>
    </row>
    <row r="31" ht="21" customHeight="1" spans="1:4" x14ac:dyDescent="0.25">
      <c r="A31" s="19" t="s">
        <v>42</v>
      </c>
      <c r="B31" s="20">
        <v>78</v>
      </c>
      <c r="C31" s="36">
        <v>0.007</v>
      </c>
      <c r="D31" s="40" t="s">
        <v>287</v>
      </c>
    </row>
    <row r="32" ht="21" customHeight="1" spans="1:4" x14ac:dyDescent="0.25">
      <c r="A32" s="56" t="s">
        <v>421</v>
      </c>
      <c r="B32" s="59">
        <v>14601.66</v>
      </c>
      <c r="C32" s="65">
        <v>1.294</v>
      </c>
      <c r="D32" s="66"/>
    </row>
    <row r="33" ht="21" customHeight="1" spans="1:4" x14ac:dyDescent="0.25">
      <c r="A33" s="19" t="s">
        <v>422</v>
      </c>
      <c r="B33" s="20">
        <v>5870.05</v>
      </c>
      <c r="C33" s="19"/>
      <c r="D33" s="40"/>
    </row>
    <row r="34" ht="21" customHeight="1" spans="1:4" x14ac:dyDescent="0.25">
      <c r="A34" s="22" t="s">
        <v>423</v>
      </c>
      <c r="B34" s="23">
        <v>8731.61</v>
      </c>
      <c r="C34" s="22"/>
      <c r="D34" s="44"/>
    </row>
    <row r="35" ht="9" customHeight="1" spans="1:4" x14ac:dyDescent="0.25">
      <c r="A35" s="55"/>
      <c r="B35" s="55"/>
      <c r="C35" s="55"/>
      <c r="D35" s="60"/>
    </row>
    <row r="36" ht="24" customHeight="1" spans="1:4" x14ac:dyDescent="0.25">
      <c r="A36" s="61" t="s">
        <v>424</v>
      </c>
      <c r="B36" s="61"/>
      <c r="C36" s="61"/>
      <c r="D36" s="62"/>
    </row>
    <row r="37" ht="21" customHeight="1" spans="1:4" x14ac:dyDescent="0.25">
      <c r="A37" s="56" t="s">
        <v>12</v>
      </c>
      <c r="B37" s="59">
        <v>22968.34</v>
      </c>
      <c r="C37" s="65">
        <v>2.036</v>
      </c>
      <c r="D37" s="66" t="s">
        <v>425</v>
      </c>
    </row>
    <row r="38" ht="9" customHeight="1" spans="1:4" x14ac:dyDescent="0.25">
      <c r="A38" s="55"/>
      <c r="B38" s="55"/>
      <c r="C38" s="55"/>
      <c r="D38" s="60"/>
    </row>
    <row r="39" ht="24" customHeight="1" spans="1:4" x14ac:dyDescent="0.25">
      <c r="A39" s="61" t="s">
        <v>426</v>
      </c>
      <c r="B39" s="61"/>
      <c r="C39" s="61"/>
      <c r="D39" s="62"/>
    </row>
    <row r="40" ht="21" customHeight="1" spans="1:4" x14ac:dyDescent="0.25">
      <c r="A40" s="22" t="s">
        <v>13</v>
      </c>
      <c r="B40" s="23">
        <v>34050</v>
      </c>
      <c r="C40" s="22"/>
      <c r="D40" s="44" t="s">
        <v>427</v>
      </c>
    </row>
    <row r="41" ht="21" customHeight="1" spans="1:4" x14ac:dyDescent="0.25">
      <c r="A41" s="19" t="s">
        <v>15</v>
      </c>
      <c r="B41" s="20">
        <v>3520</v>
      </c>
      <c r="C41" s="19"/>
      <c r="D41" s="40" t="s">
        <v>428</v>
      </c>
    </row>
    <row r="42" ht="21" customHeight="1" spans="1:4" x14ac:dyDescent="0.25">
      <c r="A42" s="22" t="s">
        <v>429</v>
      </c>
      <c r="B42" s="23">
        <v>0</v>
      </c>
      <c r="C42" s="22"/>
      <c r="D42" s="44" t="s">
        <v>430</v>
      </c>
    </row>
    <row r="43" ht="21" customHeight="1" spans="1:4" x14ac:dyDescent="0.25">
      <c r="A43" s="19" t="s">
        <v>431</v>
      </c>
      <c r="B43" s="20">
        <v>0</v>
      </c>
      <c r="C43" s="19"/>
      <c r="D43" s="40" t="s">
        <v>432</v>
      </c>
    </row>
    <row r="44" ht="21" customHeight="1" spans="1:4" x14ac:dyDescent="0.25">
      <c r="A44" s="22" t="s">
        <v>433</v>
      </c>
      <c r="B44" s="23">
        <v>0</v>
      </c>
      <c r="C44" s="22"/>
      <c r="D44" s="44" t="s">
        <v>434</v>
      </c>
    </row>
    <row r="45" ht="21" customHeight="1" spans="1:4" x14ac:dyDescent="0.25">
      <c r="A45" s="19" t="s">
        <v>337</v>
      </c>
      <c r="B45" s="20">
        <v>5140</v>
      </c>
      <c r="C45" s="19"/>
      <c r="D45" s="40" t="s">
        <v>435</v>
      </c>
    </row>
    <row r="46" ht="21" customHeight="1" spans="1:4" x14ac:dyDescent="0.25">
      <c r="A46" s="22" t="s">
        <v>14</v>
      </c>
      <c r="B46" s="23">
        <v>5140</v>
      </c>
      <c r="C46" s="22"/>
      <c r="D46" s="44" t="s">
        <v>436</v>
      </c>
    </row>
    <row r="47" ht="21" customHeight="1" spans="1:4" x14ac:dyDescent="0.25">
      <c r="A47" s="56" t="s">
        <v>16</v>
      </c>
      <c r="B47" s="59">
        <v>14308.34</v>
      </c>
      <c r="C47" s="56"/>
      <c r="D47" s="66" t="s">
        <v>437</v>
      </c>
    </row>
    <row r="48" ht="9" customHeight="1" spans="1:4" x14ac:dyDescent="0.25">
      <c r="A48" s="55"/>
      <c r="B48" s="55"/>
      <c r="C48" s="55"/>
      <c r="D48" s="60"/>
    </row>
    <row r="49" ht="24" customHeight="1" spans="1:4" x14ac:dyDescent="0.25">
      <c r="A49" s="61" t="s">
        <v>438</v>
      </c>
      <c r="B49" s="61"/>
      <c r="C49" s="61"/>
      <c r="D49" s="62"/>
    </row>
    <row r="50" ht="21" customHeight="1" spans="1:4" x14ac:dyDescent="0.25">
      <c r="A50" s="22" t="s">
        <v>99</v>
      </c>
      <c r="B50" s="23">
        <v>9630</v>
      </c>
      <c r="C50" s="41">
        <v>2.634</v>
      </c>
      <c r="D50" s="44" t="s">
        <v>439</v>
      </c>
    </row>
    <row r="51" ht="21" customHeight="1" spans="1:4" x14ac:dyDescent="0.25">
      <c r="A51" s="19" t="s">
        <v>121</v>
      </c>
      <c r="B51" s="20">
        <v>6620</v>
      </c>
      <c r="C51" s="36">
        <v>2.62</v>
      </c>
      <c r="D51" s="40" t="s">
        <v>440</v>
      </c>
    </row>
    <row r="52" ht="21" customHeight="1" spans="1:4" x14ac:dyDescent="0.25">
      <c r="A52" s="22" t="s">
        <v>115</v>
      </c>
      <c r="B52" s="23">
        <v>5715</v>
      </c>
      <c r="C52" s="41">
        <v>2.658</v>
      </c>
      <c r="D52" s="44" t="s">
        <v>441</v>
      </c>
    </row>
    <row r="53" ht="21" customHeight="1" spans="1:4" x14ac:dyDescent="0.25">
      <c r="A53" s="19" t="s">
        <v>131</v>
      </c>
      <c r="B53" s="20">
        <v>5655</v>
      </c>
      <c r="C53" s="36">
        <v>2.564</v>
      </c>
      <c r="D53" s="40" t="s">
        <v>442</v>
      </c>
    </row>
    <row r="54" ht="21" customHeight="1" spans="1:4" x14ac:dyDescent="0.25">
      <c r="A54" s="22" t="s">
        <v>110</v>
      </c>
      <c r="B54" s="23">
        <v>4000</v>
      </c>
      <c r="C54" s="41">
        <v>2.178</v>
      </c>
      <c r="D54" s="44" t="s">
        <v>443</v>
      </c>
    </row>
    <row r="55" ht="21" customHeight="1" spans="1:4" x14ac:dyDescent="0.25">
      <c r="A55" s="19" t="s">
        <v>126</v>
      </c>
      <c r="B55" s="20">
        <v>3660</v>
      </c>
      <c r="C55" s="36">
        <v>2.636</v>
      </c>
      <c r="D55" s="40" t="s">
        <v>444</v>
      </c>
    </row>
    <row r="56" ht="21" customHeight="1" spans="1:4" x14ac:dyDescent="0.25">
      <c r="A56" s="22" t="s">
        <v>135</v>
      </c>
      <c r="B56" s="23">
        <v>2290</v>
      </c>
      <c r="C56" s="41">
        <v>2.604</v>
      </c>
      <c r="D56" s="44" t="s">
        <v>445</v>
      </c>
    </row>
  </sheetData>
  <autoFilter ref="A10:D10"/>
  <mergeCells count="15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D9"/>
  </mergeCells>
  <printOptions horizontalCentered="1"/>
  <pageMargins left="0.25" right="0.25" top="0.45" bottom="0.45" header="0.2" footer="0.2"/>
  <pageSetup paperSize="9" orientation="portrait" horizontalDpi="4294967295" verticalDpi="4294967295" scale="100" fitToWidth="1" fitToHeight="0"/>
  <headerFooter>
    <oddHeader>&amp;LFinancial Summary - Unit 101 - 2026&amp;ROnRoad Books</oddHeader>
    <oddFooter>Confidential  •  Prepared from the business ledger  | 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I78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24" customWidth="1"/>
    <col min="2" max="2" width="13" customWidth="1"/>
    <col min="3" max="3" width="14" customWidth="1"/>
    <col min="4" max="5" width="18" customWidth="1"/>
    <col min="6" max="6" width="14" customWidth="1"/>
    <col min="7" max="7" width="16" customWidth="1"/>
    <col min="8" max="8" width="13" customWidth="1"/>
    <col min="9" max="9" width="12" customWidth="1"/>
  </cols>
  <sheetData>
    <row r="1" ht="38" customHeight="1" spans="1:9" x14ac:dyDescent="0.25">
      <c r="A1" s="31" t="s">
        <v>446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32" t="s">
        <v>52</v>
      </c>
      <c r="B2" s="32"/>
      <c r="C2" s="32"/>
      <c r="D2" s="32"/>
      <c r="E2" s="32"/>
      <c r="F2" s="32"/>
      <c r="G2" s="32"/>
      <c r="H2" s="32"/>
      <c r="I2" s="32"/>
    </row>
    <row r="3" ht="8" customHeight="1" x14ac:dyDescent="0.25"/>
    <row r="4" ht="26" customHeight="1" spans="1:9" x14ac:dyDescent="0.25">
      <c r="A4" s="5" t="s">
        <v>447</v>
      </c>
      <c r="B4" s="5"/>
      <c r="C4" s="5"/>
      <c r="D4" s="3" t="s">
        <v>448</v>
      </c>
      <c r="E4" s="3"/>
      <c r="F4" s="48" t="s">
        <v>449</v>
      </c>
      <c r="G4" s="48"/>
      <c r="H4" s="4" t="s">
        <v>450</v>
      </c>
      <c r="I4" s="4"/>
    </row>
    <row r="5" ht="22" customHeight="1" spans="1:9" x14ac:dyDescent="0.25">
      <c r="A5" s="8">
        <v>64</v>
      </c>
      <c r="B5" s="8"/>
      <c r="C5" s="8"/>
      <c r="D5" s="67">
        <v>9253</v>
      </c>
      <c r="E5" s="67"/>
      <c r="F5" s="68">
        <v>2030</v>
      </c>
      <c r="G5" s="68"/>
      <c r="H5" s="69">
        <v>17.991668882389437</v>
      </c>
      <c r="I5" s="69"/>
    </row>
    <row r="6" ht="22" customHeight="1" spans="1:9" x14ac:dyDescent="0.25">
      <c r="A6" s="8"/>
      <c r="B6" s="8"/>
      <c r="C6" s="8"/>
      <c r="D6" s="67"/>
      <c r="E6" s="67"/>
      <c r="F6" s="68"/>
      <c r="G6" s="68"/>
      <c r="H6" s="69"/>
      <c r="I6" s="69"/>
    </row>
    <row r="7" ht="24" customHeight="1" spans="1:9" x14ac:dyDescent="0.25">
      <c r="A7" s="9" t="s">
        <v>451</v>
      </c>
      <c r="B7" s="9"/>
      <c r="C7" s="9"/>
      <c r="D7" s="9" t="s">
        <v>452</v>
      </c>
      <c r="E7" s="9"/>
      <c r="F7" s="9" t="s">
        <v>453</v>
      </c>
      <c r="G7" s="9"/>
      <c r="H7" s="9" t="s">
        <v>454</v>
      </c>
      <c r="I7" s="9"/>
    </row>
    <row r="8" ht="10" customHeight="1" x14ac:dyDescent="0.25"/>
    <row r="9" ht="22" customHeight="1" spans="1:9" x14ac:dyDescent="0.25">
      <c r="A9" s="33" t="s">
        <v>455</v>
      </c>
      <c r="B9" s="33"/>
      <c r="C9" s="33"/>
      <c r="D9" s="33"/>
      <c r="E9" s="33"/>
      <c r="F9" s="34" t="s">
        <v>456</v>
      </c>
      <c r="G9" s="34"/>
      <c r="H9" s="34"/>
      <c r="I9" s="34"/>
    </row>
    <row r="10" ht="32" customHeight="1" spans="1:9" s="35" customFormat="1" x14ac:dyDescent="0.25">
      <c r="A10" s="35" t="s">
        <v>67</v>
      </c>
      <c r="B10" s="35" t="s">
        <v>68</v>
      </c>
      <c r="C10" s="35" t="s">
        <v>71</v>
      </c>
      <c r="D10" s="35" t="s">
        <v>73</v>
      </c>
      <c r="E10" s="35" t="s">
        <v>74</v>
      </c>
      <c r="F10" s="35" t="s">
        <v>80</v>
      </c>
      <c r="G10" s="35" t="s">
        <v>81</v>
      </c>
      <c r="H10" s="35" t="s">
        <v>82</v>
      </c>
      <c r="I10" s="35" t="s">
        <v>83</v>
      </c>
    </row>
    <row r="11" ht="21" customHeight="1" spans="1:9" x14ac:dyDescent="0.25">
      <c r="A11" s="19" t="s">
        <v>96</v>
      </c>
      <c r="B11" s="19" t="s">
        <v>97</v>
      </c>
      <c r="C11" s="19" t="s">
        <v>98</v>
      </c>
      <c r="D11" s="19" t="s">
        <v>100</v>
      </c>
      <c r="E11" s="19" t="s">
        <v>101</v>
      </c>
      <c r="F11" s="36">
        <v>55</v>
      </c>
      <c r="G11" s="37">
        <v>8</v>
      </c>
      <c r="H11" s="36">
        <v>63</v>
      </c>
      <c r="I11" s="37">
        <v>12.7</v>
      </c>
    </row>
    <row r="12" ht="21" customHeight="1" spans="1:9" x14ac:dyDescent="0.25">
      <c r="A12" s="22" t="s">
        <v>96</v>
      </c>
      <c r="B12" s="22" t="s">
        <v>108</v>
      </c>
      <c r="C12" s="22" t="s">
        <v>109</v>
      </c>
      <c r="D12" s="22" t="s">
        <v>111</v>
      </c>
      <c r="E12" s="22" t="s">
        <v>100</v>
      </c>
      <c r="F12" s="41">
        <v>128</v>
      </c>
      <c r="G12" s="42">
        <v>85</v>
      </c>
      <c r="H12" s="41">
        <v>213</v>
      </c>
      <c r="I12" s="42">
        <v>39.9</v>
      </c>
    </row>
    <row r="13" ht="21" customHeight="1" spans="1:9" x14ac:dyDescent="0.25">
      <c r="A13" s="19" t="s">
        <v>96</v>
      </c>
      <c r="B13" s="19" t="s">
        <v>113</v>
      </c>
      <c r="C13" s="19" t="s">
        <v>114</v>
      </c>
      <c r="D13" s="19" t="s">
        <v>116</v>
      </c>
      <c r="E13" s="19" t="s">
        <v>111</v>
      </c>
      <c r="F13" s="36">
        <v>245</v>
      </c>
      <c r="G13" s="37">
        <v>48</v>
      </c>
      <c r="H13" s="36">
        <v>293</v>
      </c>
      <c r="I13" s="37">
        <v>16.4</v>
      </c>
    </row>
    <row r="14" ht="21" customHeight="1" spans="1:9" x14ac:dyDescent="0.25">
      <c r="A14" s="22" t="s">
        <v>96</v>
      </c>
      <c r="B14" s="22" t="s">
        <v>119</v>
      </c>
      <c r="C14" s="22" t="s">
        <v>120</v>
      </c>
      <c r="D14" s="22" t="s">
        <v>122</v>
      </c>
      <c r="E14" s="22" t="s">
        <v>116</v>
      </c>
      <c r="F14" s="41">
        <v>92</v>
      </c>
      <c r="G14" s="42">
        <v>70</v>
      </c>
      <c r="H14" s="41">
        <v>162</v>
      </c>
      <c r="I14" s="42">
        <v>43.2</v>
      </c>
    </row>
    <row r="15" ht="21" customHeight="1" spans="1:9" x14ac:dyDescent="0.25">
      <c r="A15" s="19" t="s">
        <v>96</v>
      </c>
      <c r="B15" s="19" t="s">
        <v>124</v>
      </c>
      <c r="C15" s="19" t="s">
        <v>125</v>
      </c>
      <c r="D15" s="19" t="s">
        <v>127</v>
      </c>
      <c r="E15" s="19" t="s">
        <v>122</v>
      </c>
      <c r="F15" s="36">
        <v>78</v>
      </c>
      <c r="G15" s="37">
        <v>62</v>
      </c>
      <c r="H15" s="36">
        <v>140</v>
      </c>
      <c r="I15" s="37">
        <v>44.3</v>
      </c>
    </row>
    <row r="16" ht="21" customHeight="1" spans="1:9" x14ac:dyDescent="0.25">
      <c r="A16" s="22" t="s">
        <v>96</v>
      </c>
      <c r="B16" s="22" t="s">
        <v>129</v>
      </c>
      <c r="C16" s="22" t="s">
        <v>130</v>
      </c>
      <c r="D16" s="22" t="s">
        <v>132</v>
      </c>
      <c r="E16" s="22" t="s">
        <v>127</v>
      </c>
      <c r="F16" s="41">
        <v>190</v>
      </c>
      <c r="G16" s="42">
        <v>45</v>
      </c>
      <c r="H16" s="41">
        <v>235</v>
      </c>
      <c r="I16" s="42">
        <v>19.1</v>
      </c>
    </row>
    <row r="17" ht="21" customHeight="1" spans="1:9" x14ac:dyDescent="0.25">
      <c r="A17" s="19" t="s">
        <v>96</v>
      </c>
      <c r="B17" s="19" t="s">
        <v>133</v>
      </c>
      <c r="C17" s="19" t="s">
        <v>134</v>
      </c>
      <c r="D17" s="19" t="s">
        <v>136</v>
      </c>
      <c r="E17" s="19" t="s">
        <v>132</v>
      </c>
      <c r="F17" s="36">
        <v>90</v>
      </c>
      <c r="G17" s="37">
        <v>85</v>
      </c>
      <c r="H17" s="36">
        <v>175</v>
      </c>
      <c r="I17" s="37">
        <v>48.6</v>
      </c>
    </row>
    <row r="18" ht="21" customHeight="1" spans="1:9" x14ac:dyDescent="0.25">
      <c r="A18" s="22" t="s">
        <v>96</v>
      </c>
      <c r="B18" s="22" t="s">
        <v>138</v>
      </c>
      <c r="C18" s="22" t="s">
        <v>139</v>
      </c>
      <c r="D18" s="22" t="s">
        <v>140</v>
      </c>
      <c r="E18" s="22" t="s">
        <v>136</v>
      </c>
      <c r="F18" s="41">
        <v>148</v>
      </c>
      <c r="G18" s="42">
        <v>32</v>
      </c>
      <c r="H18" s="41">
        <v>180</v>
      </c>
      <c r="I18" s="42">
        <v>17.8</v>
      </c>
    </row>
    <row r="19" ht="21" customHeight="1" spans="1:9" x14ac:dyDescent="0.25">
      <c r="A19" s="19" t="s">
        <v>96</v>
      </c>
      <c r="B19" s="19" t="s">
        <v>141</v>
      </c>
      <c r="C19" s="19" t="s">
        <v>142</v>
      </c>
      <c r="D19" s="19" t="s">
        <v>143</v>
      </c>
      <c r="E19" s="19" t="s">
        <v>140</v>
      </c>
      <c r="F19" s="36">
        <v>48</v>
      </c>
      <c r="G19" s="37">
        <v>10</v>
      </c>
      <c r="H19" s="36">
        <v>58</v>
      </c>
      <c r="I19" s="37">
        <v>17.2</v>
      </c>
    </row>
    <row r="20" ht="21" customHeight="1" spans="1:9" x14ac:dyDescent="0.25">
      <c r="A20" s="22" t="s">
        <v>96</v>
      </c>
      <c r="B20" s="22" t="s">
        <v>145</v>
      </c>
      <c r="C20" s="22" t="s">
        <v>146</v>
      </c>
      <c r="D20" s="22" t="s">
        <v>132</v>
      </c>
      <c r="E20" s="22" t="s">
        <v>143</v>
      </c>
      <c r="F20" s="41">
        <v>235</v>
      </c>
      <c r="G20" s="42">
        <v>120</v>
      </c>
      <c r="H20" s="41">
        <v>355</v>
      </c>
      <c r="I20" s="42">
        <v>33.8</v>
      </c>
    </row>
    <row r="21" ht="21" customHeight="1" spans="1:9" x14ac:dyDescent="0.25">
      <c r="A21" s="19" t="s">
        <v>96</v>
      </c>
      <c r="B21" s="19" t="s">
        <v>148</v>
      </c>
      <c r="C21" s="19" t="s">
        <v>149</v>
      </c>
      <c r="D21" s="19" t="s">
        <v>111</v>
      </c>
      <c r="E21" s="19" t="s">
        <v>132</v>
      </c>
      <c r="F21" s="36">
        <v>165</v>
      </c>
      <c r="G21" s="37">
        <v>18</v>
      </c>
      <c r="H21" s="36">
        <v>183</v>
      </c>
      <c r="I21" s="37">
        <v>9.8</v>
      </c>
    </row>
    <row r="22" ht="21" customHeight="1" spans="1:9" x14ac:dyDescent="0.25">
      <c r="A22" s="22" t="s">
        <v>96</v>
      </c>
      <c r="B22" s="22" t="s">
        <v>151</v>
      </c>
      <c r="C22" s="22" t="s">
        <v>152</v>
      </c>
      <c r="D22" s="22" t="s">
        <v>127</v>
      </c>
      <c r="E22" s="22" t="s">
        <v>111</v>
      </c>
      <c r="F22" s="41">
        <v>82</v>
      </c>
      <c r="G22" s="42">
        <v>96</v>
      </c>
      <c r="H22" s="41">
        <v>178</v>
      </c>
      <c r="I22" s="42">
        <v>53.9</v>
      </c>
    </row>
    <row r="23" ht="21" customHeight="1" spans="1:9" x14ac:dyDescent="0.25">
      <c r="A23" s="19" t="s">
        <v>96</v>
      </c>
      <c r="B23" s="19" t="s">
        <v>153</v>
      </c>
      <c r="C23" s="19" t="s">
        <v>154</v>
      </c>
      <c r="D23" s="19" t="s">
        <v>116</v>
      </c>
      <c r="E23" s="19" t="s">
        <v>127</v>
      </c>
      <c r="F23" s="36">
        <v>155</v>
      </c>
      <c r="G23" s="37">
        <v>24</v>
      </c>
      <c r="H23" s="36">
        <v>179</v>
      </c>
      <c r="I23" s="37">
        <v>13.4</v>
      </c>
    </row>
    <row r="24" ht="21" customHeight="1" spans="1:9" x14ac:dyDescent="0.25">
      <c r="A24" s="22" t="s">
        <v>96</v>
      </c>
      <c r="B24" s="22" t="s">
        <v>155</v>
      </c>
      <c r="C24" s="22" t="s">
        <v>156</v>
      </c>
      <c r="D24" s="22" t="s">
        <v>101</v>
      </c>
      <c r="E24" s="22" t="s">
        <v>116</v>
      </c>
      <c r="F24" s="41">
        <v>165</v>
      </c>
      <c r="G24" s="42">
        <v>20</v>
      </c>
      <c r="H24" s="41">
        <v>185</v>
      </c>
      <c r="I24" s="42">
        <v>10.8</v>
      </c>
    </row>
    <row r="25" ht="21" customHeight="1" spans="1:9" x14ac:dyDescent="0.25">
      <c r="A25" s="19" t="s">
        <v>96</v>
      </c>
      <c r="B25" s="19" t="s">
        <v>157</v>
      </c>
      <c r="C25" s="19" t="s">
        <v>158</v>
      </c>
      <c r="D25" s="19" t="s">
        <v>127</v>
      </c>
      <c r="E25" s="19" t="s">
        <v>101</v>
      </c>
      <c r="F25" s="36">
        <v>118</v>
      </c>
      <c r="G25" s="37">
        <v>78</v>
      </c>
      <c r="H25" s="36">
        <v>196</v>
      </c>
      <c r="I25" s="37">
        <v>39.8</v>
      </c>
    </row>
    <row r="26" ht="21" customHeight="1" spans="1:9" x14ac:dyDescent="0.25">
      <c r="A26" s="22" t="s">
        <v>96</v>
      </c>
      <c r="B26" s="22" t="s">
        <v>159</v>
      </c>
      <c r="C26" s="22" t="s">
        <v>160</v>
      </c>
      <c r="D26" s="22" t="s">
        <v>132</v>
      </c>
      <c r="E26" s="22" t="s">
        <v>127</v>
      </c>
      <c r="F26" s="41">
        <v>190</v>
      </c>
      <c r="G26" s="42">
        <v>48</v>
      </c>
      <c r="H26" s="41">
        <v>238</v>
      </c>
      <c r="I26" s="42">
        <v>20.2</v>
      </c>
    </row>
    <row r="27" ht="21" customHeight="1" spans="1:9" x14ac:dyDescent="0.25">
      <c r="A27" s="19" t="s">
        <v>96</v>
      </c>
      <c r="B27" s="19" t="s">
        <v>162</v>
      </c>
      <c r="C27" s="19" t="s">
        <v>163</v>
      </c>
      <c r="D27" s="19" t="s">
        <v>136</v>
      </c>
      <c r="E27" s="19" t="s">
        <v>132</v>
      </c>
      <c r="F27" s="36">
        <v>90</v>
      </c>
      <c r="G27" s="37">
        <v>12</v>
      </c>
      <c r="H27" s="36">
        <v>102</v>
      </c>
      <c r="I27" s="37">
        <v>11.8</v>
      </c>
    </row>
    <row r="28" ht="21" customHeight="1" spans="1:9" x14ac:dyDescent="0.25">
      <c r="A28" s="22" t="s">
        <v>96</v>
      </c>
      <c r="B28" s="22" t="s">
        <v>164</v>
      </c>
      <c r="C28" s="22" t="s">
        <v>165</v>
      </c>
      <c r="D28" s="22" t="s">
        <v>143</v>
      </c>
      <c r="E28" s="22" t="s">
        <v>136</v>
      </c>
      <c r="F28" s="41">
        <v>175</v>
      </c>
      <c r="G28" s="42">
        <v>22</v>
      </c>
      <c r="H28" s="41">
        <v>197</v>
      </c>
      <c r="I28" s="42">
        <v>11.2</v>
      </c>
    </row>
    <row r="29" ht="21" customHeight="1" spans="1:9" x14ac:dyDescent="0.25">
      <c r="A29" s="19" t="s">
        <v>96</v>
      </c>
      <c r="B29" s="19" t="s">
        <v>167</v>
      </c>
      <c r="C29" s="19" t="s">
        <v>168</v>
      </c>
      <c r="D29" s="19" t="s">
        <v>127</v>
      </c>
      <c r="E29" s="19" t="s">
        <v>111</v>
      </c>
      <c r="F29" s="36">
        <v>90</v>
      </c>
      <c r="G29" s="37">
        <v>16</v>
      </c>
      <c r="H29" s="36">
        <v>106</v>
      </c>
      <c r="I29" s="37">
        <v>15.1</v>
      </c>
    </row>
    <row r="30" ht="21" customHeight="1" spans="1:9" x14ac:dyDescent="0.25">
      <c r="A30" s="22" t="s">
        <v>96</v>
      </c>
      <c r="B30" s="22" t="s">
        <v>169</v>
      </c>
      <c r="C30" s="22" t="s">
        <v>170</v>
      </c>
      <c r="D30" s="22" t="s">
        <v>140</v>
      </c>
      <c r="E30" s="22" t="s">
        <v>136</v>
      </c>
      <c r="F30" s="41">
        <v>144</v>
      </c>
      <c r="G30" s="42">
        <v>15</v>
      </c>
      <c r="H30" s="41">
        <v>159</v>
      </c>
      <c r="I30" s="42">
        <v>9.4</v>
      </c>
    </row>
    <row r="31" ht="21" customHeight="1" spans="1:9" x14ac:dyDescent="0.25">
      <c r="A31" s="19" t="s">
        <v>96</v>
      </c>
      <c r="B31" s="19" t="s">
        <v>171</v>
      </c>
      <c r="C31" s="19" t="s">
        <v>172</v>
      </c>
      <c r="D31" s="19" t="s">
        <v>116</v>
      </c>
      <c r="E31" s="19" t="s">
        <v>127</v>
      </c>
      <c r="F31" s="36">
        <v>152</v>
      </c>
      <c r="G31" s="37">
        <v>39</v>
      </c>
      <c r="H31" s="36">
        <v>191</v>
      </c>
      <c r="I31" s="37">
        <v>20.4</v>
      </c>
    </row>
    <row r="32" ht="21" customHeight="1" spans="1:9" x14ac:dyDescent="0.25">
      <c r="A32" s="22" t="s">
        <v>96</v>
      </c>
      <c r="B32" s="22" t="s">
        <v>173</v>
      </c>
      <c r="C32" s="22" t="s">
        <v>174</v>
      </c>
      <c r="D32" s="22" t="s">
        <v>132</v>
      </c>
      <c r="E32" s="22" t="s">
        <v>127</v>
      </c>
      <c r="F32" s="41">
        <v>189</v>
      </c>
      <c r="G32" s="42">
        <v>48</v>
      </c>
      <c r="H32" s="41">
        <v>237</v>
      </c>
      <c r="I32" s="42">
        <v>20.3</v>
      </c>
    </row>
    <row r="33" ht="21" customHeight="1" spans="1:9" x14ac:dyDescent="0.25">
      <c r="A33" s="19" t="s">
        <v>96</v>
      </c>
      <c r="B33" s="19" t="s">
        <v>175</v>
      </c>
      <c r="C33" s="19" t="s">
        <v>176</v>
      </c>
      <c r="D33" s="19" t="s">
        <v>127</v>
      </c>
      <c r="E33" s="19" t="s">
        <v>101</v>
      </c>
      <c r="F33" s="36">
        <v>110</v>
      </c>
      <c r="G33" s="37">
        <v>23</v>
      </c>
      <c r="H33" s="36">
        <v>133</v>
      </c>
      <c r="I33" s="37">
        <v>17.3</v>
      </c>
    </row>
    <row r="34" ht="21" customHeight="1" spans="1:9" x14ac:dyDescent="0.25">
      <c r="A34" s="22" t="s">
        <v>96</v>
      </c>
      <c r="B34" s="22" t="s">
        <v>177</v>
      </c>
      <c r="C34" s="22" t="s">
        <v>178</v>
      </c>
      <c r="D34" s="22" t="s">
        <v>116</v>
      </c>
      <c r="E34" s="22" t="s">
        <v>127</v>
      </c>
      <c r="F34" s="41">
        <v>154</v>
      </c>
      <c r="G34" s="42">
        <v>19</v>
      </c>
      <c r="H34" s="41">
        <v>173</v>
      </c>
      <c r="I34" s="42">
        <v>11</v>
      </c>
    </row>
    <row r="35" ht="21" customHeight="1" spans="1:9" x14ac:dyDescent="0.25">
      <c r="A35" s="19" t="s">
        <v>96</v>
      </c>
      <c r="B35" s="19" t="s">
        <v>179</v>
      </c>
      <c r="C35" s="19" t="s">
        <v>180</v>
      </c>
      <c r="D35" s="19" t="s">
        <v>127</v>
      </c>
      <c r="E35" s="19" t="s">
        <v>111</v>
      </c>
      <c r="F35" s="36">
        <v>89</v>
      </c>
      <c r="G35" s="37">
        <v>22</v>
      </c>
      <c r="H35" s="36">
        <v>111</v>
      </c>
      <c r="I35" s="37">
        <v>19.8</v>
      </c>
    </row>
    <row r="36" ht="21" customHeight="1" spans="1:9" x14ac:dyDescent="0.25">
      <c r="A36" s="22" t="s">
        <v>96</v>
      </c>
      <c r="B36" s="22" t="s">
        <v>181</v>
      </c>
      <c r="C36" s="22" t="s">
        <v>182</v>
      </c>
      <c r="D36" s="22" t="s">
        <v>132</v>
      </c>
      <c r="E36" s="22" t="s">
        <v>127</v>
      </c>
      <c r="F36" s="41">
        <v>192</v>
      </c>
      <c r="G36" s="42">
        <v>41</v>
      </c>
      <c r="H36" s="41">
        <v>233</v>
      </c>
      <c r="I36" s="42">
        <v>17.6</v>
      </c>
    </row>
    <row r="37" ht="21" customHeight="1" spans="1:9" x14ac:dyDescent="0.25">
      <c r="A37" s="19" t="s">
        <v>96</v>
      </c>
      <c r="B37" s="19" t="s">
        <v>183</v>
      </c>
      <c r="C37" s="19" t="s">
        <v>184</v>
      </c>
      <c r="D37" s="19" t="s">
        <v>116</v>
      </c>
      <c r="E37" s="19" t="s">
        <v>127</v>
      </c>
      <c r="F37" s="36">
        <v>147</v>
      </c>
      <c r="G37" s="37">
        <v>30</v>
      </c>
      <c r="H37" s="36">
        <v>177</v>
      </c>
      <c r="I37" s="37">
        <v>16.9</v>
      </c>
    </row>
    <row r="38" ht="21" customHeight="1" spans="1:9" x14ac:dyDescent="0.25">
      <c r="A38" s="22" t="s">
        <v>96</v>
      </c>
      <c r="B38" s="22" t="s">
        <v>185</v>
      </c>
      <c r="C38" s="22" t="s">
        <v>186</v>
      </c>
      <c r="D38" s="22" t="s">
        <v>132</v>
      </c>
      <c r="E38" s="22" t="s">
        <v>127</v>
      </c>
      <c r="F38" s="41">
        <v>189</v>
      </c>
      <c r="G38" s="42">
        <v>29</v>
      </c>
      <c r="H38" s="41">
        <v>218</v>
      </c>
      <c r="I38" s="42">
        <v>13.3</v>
      </c>
    </row>
    <row r="39" ht="21" customHeight="1" spans="1:9" x14ac:dyDescent="0.25">
      <c r="A39" s="19" t="s">
        <v>96</v>
      </c>
      <c r="B39" s="19" t="s">
        <v>187</v>
      </c>
      <c r="C39" s="19" t="s">
        <v>188</v>
      </c>
      <c r="D39" s="19" t="s">
        <v>132</v>
      </c>
      <c r="E39" s="19" t="s">
        <v>127</v>
      </c>
      <c r="F39" s="36">
        <v>193</v>
      </c>
      <c r="G39" s="37">
        <v>25</v>
      </c>
      <c r="H39" s="36">
        <v>218</v>
      </c>
      <c r="I39" s="37">
        <v>11.5</v>
      </c>
    </row>
    <row r="40" ht="21" customHeight="1" spans="1:9" x14ac:dyDescent="0.25">
      <c r="A40" s="22" t="s">
        <v>96</v>
      </c>
      <c r="B40" s="22" t="s">
        <v>189</v>
      </c>
      <c r="C40" s="22" t="s">
        <v>190</v>
      </c>
      <c r="D40" s="22" t="s">
        <v>132</v>
      </c>
      <c r="E40" s="22" t="s">
        <v>127</v>
      </c>
      <c r="F40" s="41">
        <v>186</v>
      </c>
      <c r="G40" s="42">
        <v>43</v>
      </c>
      <c r="H40" s="41">
        <v>229</v>
      </c>
      <c r="I40" s="42">
        <v>18.8</v>
      </c>
    </row>
    <row r="41" ht="21" customHeight="1" spans="1:9" x14ac:dyDescent="0.25">
      <c r="A41" s="19" t="s">
        <v>96</v>
      </c>
      <c r="B41" s="19" t="s">
        <v>191</v>
      </c>
      <c r="C41" s="19" t="s">
        <v>192</v>
      </c>
      <c r="D41" s="19" t="s">
        <v>143</v>
      </c>
      <c r="E41" s="19" t="s">
        <v>136</v>
      </c>
      <c r="F41" s="36">
        <v>174</v>
      </c>
      <c r="G41" s="37">
        <v>42</v>
      </c>
      <c r="H41" s="36">
        <v>216</v>
      </c>
      <c r="I41" s="37">
        <v>19.4</v>
      </c>
    </row>
    <row r="42" ht="21" customHeight="1" spans="1:9" x14ac:dyDescent="0.25">
      <c r="A42" s="22" t="s">
        <v>96</v>
      </c>
      <c r="B42" s="22" t="s">
        <v>193</v>
      </c>
      <c r="C42" s="22" t="s">
        <v>194</v>
      </c>
      <c r="D42" s="22" t="s">
        <v>100</v>
      </c>
      <c r="E42" s="22" t="s">
        <v>140</v>
      </c>
      <c r="F42" s="41">
        <v>38</v>
      </c>
      <c r="G42" s="42">
        <v>5</v>
      </c>
      <c r="H42" s="41">
        <v>43</v>
      </c>
      <c r="I42" s="42">
        <v>11.6</v>
      </c>
    </row>
    <row r="43" ht="21" customHeight="1" spans="1:9" x14ac:dyDescent="0.25">
      <c r="A43" s="19" t="s">
        <v>96</v>
      </c>
      <c r="B43" s="19" t="s">
        <v>195</v>
      </c>
      <c r="C43" s="19" t="s">
        <v>196</v>
      </c>
      <c r="D43" s="19" t="s">
        <v>101</v>
      </c>
      <c r="E43" s="19" t="s">
        <v>116</v>
      </c>
      <c r="F43" s="36">
        <v>160</v>
      </c>
      <c r="G43" s="37">
        <v>32</v>
      </c>
      <c r="H43" s="36">
        <v>192</v>
      </c>
      <c r="I43" s="37">
        <v>16.7</v>
      </c>
    </row>
    <row r="44" ht="21" customHeight="1" spans="1:9" x14ac:dyDescent="0.25">
      <c r="A44" s="22" t="s">
        <v>96</v>
      </c>
      <c r="B44" s="22" t="s">
        <v>197</v>
      </c>
      <c r="C44" s="22" t="s">
        <v>198</v>
      </c>
      <c r="D44" s="22" t="s">
        <v>132</v>
      </c>
      <c r="E44" s="22" t="s">
        <v>127</v>
      </c>
      <c r="F44" s="41">
        <v>196</v>
      </c>
      <c r="G44" s="42">
        <v>24</v>
      </c>
      <c r="H44" s="41">
        <v>220</v>
      </c>
      <c r="I44" s="42">
        <v>10.9</v>
      </c>
    </row>
    <row r="45" ht="21" customHeight="1" spans="1:9" x14ac:dyDescent="0.25">
      <c r="A45" s="19" t="s">
        <v>96</v>
      </c>
      <c r="B45" s="19" t="s">
        <v>199</v>
      </c>
      <c r="C45" s="19" t="s">
        <v>200</v>
      </c>
      <c r="D45" s="19" t="s">
        <v>132</v>
      </c>
      <c r="E45" s="19" t="s">
        <v>143</v>
      </c>
      <c r="F45" s="36">
        <v>239</v>
      </c>
      <c r="G45" s="37">
        <v>43</v>
      </c>
      <c r="H45" s="36">
        <v>282</v>
      </c>
      <c r="I45" s="37">
        <v>15.2</v>
      </c>
    </row>
    <row r="46" ht="21" customHeight="1" spans="1:9" x14ac:dyDescent="0.25">
      <c r="A46" s="22" t="s">
        <v>96</v>
      </c>
      <c r="B46" s="22" t="s">
        <v>201</v>
      </c>
      <c r="C46" s="22" t="s">
        <v>202</v>
      </c>
      <c r="D46" s="22" t="s">
        <v>127</v>
      </c>
      <c r="E46" s="22" t="s">
        <v>111</v>
      </c>
      <c r="F46" s="41">
        <v>79</v>
      </c>
      <c r="G46" s="42">
        <v>13</v>
      </c>
      <c r="H46" s="41">
        <v>92</v>
      </c>
      <c r="I46" s="42">
        <v>14.1</v>
      </c>
    </row>
    <row r="47" ht="21" customHeight="1" spans="1:9" x14ac:dyDescent="0.25">
      <c r="A47" s="19" t="s">
        <v>96</v>
      </c>
      <c r="B47" s="19" t="s">
        <v>203</v>
      </c>
      <c r="C47" s="19" t="s">
        <v>204</v>
      </c>
      <c r="D47" s="19" t="s">
        <v>100</v>
      </c>
      <c r="E47" s="19" t="s">
        <v>140</v>
      </c>
      <c r="F47" s="36">
        <v>42</v>
      </c>
      <c r="G47" s="37">
        <v>5</v>
      </c>
      <c r="H47" s="36">
        <v>47</v>
      </c>
      <c r="I47" s="37">
        <v>10.6</v>
      </c>
    </row>
    <row r="48" ht="21" customHeight="1" spans="1:9" x14ac:dyDescent="0.25">
      <c r="A48" s="22" t="s">
        <v>96</v>
      </c>
      <c r="B48" s="22" t="s">
        <v>205</v>
      </c>
      <c r="C48" s="22" t="s">
        <v>206</v>
      </c>
      <c r="D48" s="22" t="s">
        <v>111</v>
      </c>
      <c r="E48" s="22" t="s">
        <v>132</v>
      </c>
      <c r="F48" s="41">
        <v>162</v>
      </c>
      <c r="G48" s="42">
        <v>16</v>
      </c>
      <c r="H48" s="41">
        <v>178</v>
      </c>
      <c r="I48" s="42">
        <v>9</v>
      </c>
    </row>
    <row r="49" ht="21" customHeight="1" spans="1:9" x14ac:dyDescent="0.25">
      <c r="A49" s="19" t="s">
        <v>96</v>
      </c>
      <c r="B49" s="19" t="s">
        <v>207</v>
      </c>
      <c r="C49" s="19" t="s">
        <v>208</v>
      </c>
      <c r="D49" s="19" t="s">
        <v>101</v>
      </c>
      <c r="E49" s="19" t="s">
        <v>116</v>
      </c>
      <c r="F49" s="36">
        <v>169</v>
      </c>
      <c r="G49" s="37">
        <v>20</v>
      </c>
      <c r="H49" s="36">
        <v>189</v>
      </c>
      <c r="I49" s="37">
        <v>10.6</v>
      </c>
    </row>
    <row r="50" ht="21" customHeight="1" spans="1:9" x14ac:dyDescent="0.25">
      <c r="A50" s="22" t="s">
        <v>96</v>
      </c>
      <c r="B50" s="22" t="s">
        <v>209</v>
      </c>
      <c r="C50" s="22" t="s">
        <v>210</v>
      </c>
      <c r="D50" s="22" t="s">
        <v>101</v>
      </c>
      <c r="E50" s="22" t="s">
        <v>116</v>
      </c>
      <c r="F50" s="41">
        <v>161</v>
      </c>
      <c r="G50" s="42">
        <v>24</v>
      </c>
      <c r="H50" s="41">
        <v>185</v>
      </c>
      <c r="I50" s="42">
        <v>13</v>
      </c>
    </row>
    <row r="51" ht="21" customHeight="1" spans="1:9" x14ac:dyDescent="0.25">
      <c r="A51" s="19" t="s">
        <v>96</v>
      </c>
      <c r="B51" s="19" t="s">
        <v>211</v>
      </c>
      <c r="C51" s="19" t="s">
        <v>212</v>
      </c>
      <c r="D51" s="19" t="s">
        <v>143</v>
      </c>
      <c r="E51" s="19" t="s">
        <v>136</v>
      </c>
      <c r="F51" s="36">
        <v>178</v>
      </c>
      <c r="G51" s="37">
        <v>35</v>
      </c>
      <c r="H51" s="36">
        <v>213</v>
      </c>
      <c r="I51" s="37">
        <v>16.4</v>
      </c>
    </row>
    <row r="52" ht="21" customHeight="1" spans="1:9" x14ac:dyDescent="0.25">
      <c r="A52" s="22" t="s">
        <v>96</v>
      </c>
      <c r="B52" s="22" t="s">
        <v>213</v>
      </c>
      <c r="C52" s="22" t="s">
        <v>214</v>
      </c>
      <c r="D52" s="22" t="s">
        <v>127</v>
      </c>
      <c r="E52" s="22" t="s">
        <v>101</v>
      </c>
      <c r="F52" s="41">
        <v>124</v>
      </c>
      <c r="G52" s="42">
        <v>32</v>
      </c>
      <c r="H52" s="41">
        <v>156</v>
      </c>
      <c r="I52" s="42">
        <v>20.5</v>
      </c>
    </row>
    <row r="53" ht="21" customHeight="1" spans="1:9" x14ac:dyDescent="0.25">
      <c r="A53" s="19" t="s">
        <v>96</v>
      </c>
      <c r="B53" s="19" t="s">
        <v>215</v>
      </c>
      <c r="C53" s="19" t="s">
        <v>216</v>
      </c>
      <c r="D53" s="19" t="s">
        <v>111</v>
      </c>
      <c r="E53" s="19" t="s">
        <v>132</v>
      </c>
      <c r="F53" s="36">
        <v>158</v>
      </c>
      <c r="G53" s="37">
        <v>24</v>
      </c>
      <c r="H53" s="36">
        <v>182</v>
      </c>
      <c r="I53" s="37">
        <v>13.2</v>
      </c>
    </row>
    <row r="54" ht="21" customHeight="1" spans="1:9" x14ac:dyDescent="0.25">
      <c r="A54" s="22" t="s">
        <v>96</v>
      </c>
      <c r="B54" s="22" t="s">
        <v>217</v>
      </c>
      <c r="C54" s="22" t="s">
        <v>218</v>
      </c>
      <c r="D54" s="22" t="s">
        <v>116</v>
      </c>
      <c r="E54" s="22" t="s">
        <v>127</v>
      </c>
      <c r="F54" s="41">
        <v>156</v>
      </c>
      <c r="G54" s="42">
        <v>18</v>
      </c>
      <c r="H54" s="41">
        <v>174</v>
      </c>
      <c r="I54" s="42">
        <v>10.3</v>
      </c>
    </row>
    <row r="55" ht="21" customHeight="1" spans="1:9" x14ac:dyDescent="0.25">
      <c r="A55" s="19" t="s">
        <v>96</v>
      </c>
      <c r="B55" s="19" t="s">
        <v>219</v>
      </c>
      <c r="C55" s="19" t="s">
        <v>220</v>
      </c>
      <c r="D55" s="19" t="s">
        <v>132</v>
      </c>
      <c r="E55" s="19" t="s">
        <v>143</v>
      </c>
      <c r="F55" s="36">
        <v>241</v>
      </c>
      <c r="G55" s="37">
        <v>26</v>
      </c>
      <c r="H55" s="36">
        <v>267</v>
      </c>
      <c r="I55" s="37">
        <v>9.7</v>
      </c>
    </row>
    <row r="56" ht="21" customHeight="1" spans="1:9" x14ac:dyDescent="0.25">
      <c r="A56" s="22" t="s">
        <v>96</v>
      </c>
      <c r="B56" s="22" t="s">
        <v>221</v>
      </c>
      <c r="C56" s="22" t="s">
        <v>222</v>
      </c>
      <c r="D56" s="22" t="s">
        <v>116</v>
      </c>
      <c r="E56" s="22" t="s">
        <v>127</v>
      </c>
      <c r="F56" s="41">
        <v>147</v>
      </c>
      <c r="G56" s="42">
        <v>21</v>
      </c>
      <c r="H56" s="41">
        <v>168</v>
      </c>
      <c r="I56" s="42">
        <v>12.5</v>
      </c>
    </row>
    <row r="57" ht="21" customHeight="1" spans="1:9" x14ac:dyDescent="0.25">
      <c r="A57" s="19" t="s">
        <v>96</v>
      </c>
      <c r="B57" s="19" t="s">
        <v>223</v>
      </c>
      <c r="C57" s="19" t="s">
        <v>224</v>
      </c>
      <c r="D57" s="19" t="s">
        <v>100</v>
      </c>
      <c r="E57" s="19" t="s">
        <v>140</v>
      </c>
      <c r="F57" s="36">
        <v>39</v>
      </c>
      <c r="G57" s="37">
        <v>6</v>
      </c>
      <c r="H57" s="36">
        <v>45</v>
      </c>
      <c r="I57" s="37">
        <v>13.3</v>
      </c>
    </row>
    <row r="58" ht="21" customHeight="1" spans="1:9" x14ac:dyDescent="0.25">
      <c r="A58" s="22" t="s">
        <v>96</v>
      </c>
      <c r="B58" s="22" t="s">
        <v>225</v>
      </c>
      <c r="C58" s="22" t="s">
        <v>226</v>
      </c>
      <c r="D58" s="22" t="s">
        <v>111</v>
      </c>
      <c r="E58" s="22" t="s">
        <v>132</v>
      </c>
      <c r="F58" s="41">
        <v>173</v>
      </c>
      <c r="G58" s="42">
        <v>40</v>
      </c>
      <c r="H58" s="41">
        <v>213</v>
      </c>
      <c r="I58" s="42">
        <v>18.8</v>
      </c>
    </row>
    <row r="59" ht="21" customHeight="1" spans="1:9" x14ac:dyDescent="0.25">
      <c r="A59" s="19" t="s">
        <v>96</v>
      </c>
      <c r="B59" s="19" t="s">
        <v>227</v>
      </c>
      <c r="C59" s="19" t="s">
        <v>228</v>
      </c>
      <c r="D59" s="19" t="s">
        <v>127</v>
      </c>
      <c r="E59" s="19" t="s">
        <v>101</v>
      </c>
      <c r="F59" s="36">
        <v>113</v>
      </c>
      <c r="G59" s="37">
        <v>18</v>
      </c>
      <c r="H59" s="36">
        <v>131</v>
      </c>
      <c r="I59" s="37">
        <v>13.7</v>
      </c>
    </row>
    <row r="60" ht="21" customHeight="1" spans="1:9" x14ac:dyDescent="0.25">
      <c r="A60" s="22" t="s">
        <v>96</v>
      </c>
      <c r="B60" s="22" t="s">
        <v>229</v>
      </c>
      <c r="C60" s="22" t="s">
        <v>230</v>
      </c>
      <c r="D60" s="22" t="s">
        <v>143</v>
      </c>
      <c r="E60" s="22" t="s">
        <v>136</v>
      </c>
      <c r="F60" s="41">
        <v>175</v>
      </c>
      <c r="G60" s="42">
        <v>23</v>
      </c>
      <c r="H60" s="41">
        <v>198</v>
      </c>
      <c r="I60" s="42">
        <v>11.6</v>
      </c>
    </row>
    <row r="61" ht="21" customHeight="1" spans="1:9" x14ac:dyDescent="0.25">
      <c r="A61" s="19" t="s">
        <v>96</v>
      </c>
      <c r="B61" s="19" t="s">
        <v>231</v>
      </c>
      <c r="C61" s="19" t="s">
        <v>232</v>
      </c>
      <c r="D61" s="19" t="s">
        <v>140</v>
      </c>
      <c r="E61" s="19" t="s">
        <v>136</v>
      </c>
      <c r="F61" s="36">
        <v>145</v>
      </c>
      <c r="G61" s="37">
        <v>34</v>
      </c>
      <c r="H61" s="36">
        <v>179</v>
      </c>
      <c r="I61" s="37">
        <v>19</v>
      </c>
    </row>
    <row r="62" ht="21" customHeight="1" spans="1:9" x14ac:dyDescent="0.25">
      <c r="A62" s="22" t="s">
        <v>96</v>
      </c>
      <c r="B62" s="22" t="s">
        <v>233</v>
      </c>
      <c r="C62" s="22" t="s">
        <v>234</v>
      </c>
      <c r="D62" s="22" t="s">
        <v>122</v>
      </c>
      <c r="E62" s="22" t="s">
        <v>116</v>
      </c>
      <c r="F62" s="41">
        <v>92</v>
      </c>
      <c r="G62" s="42">
        <v>15</v>
      </c>
      <c r="H62" s="41">
        <v>107</v>
      </c>
      <c r="I62" s="42">
        <v>14</v>
      </c>
    </row>
    <row r="63" ht="21" customHeight="1" spans="1:9" x14ac:dyDescent="0.25">
      <c r="A63" s="19" t="s">
        <v>96</v>
      </c>
      <c r="B63" s="19" t="s">
        <v>235</v>
      </c>
      <c r="C63" s="19" t="s">
        <v>236</v>
      </c>
      <c r="D63" s="19" t="s">
        <v>116</v>
      </c>
      <c r="E63" s="19" t="s">
        <v>127</v>
      </c>
      <c r="F63" s="36">
        <v>149</v>
      </c>
      <c r="G63" s="37">
        <v>14</v>
      </c>
      <c r="H63" s="36">
        <v>163</v>
      </c>
      <c r="I63" s="37">
        <v>8.6</v>
      </c>
    </row>
    <row r="64" ht="21" customHeight="1" spans="1:9" x14ac:dyDescent="0.25">
      <c r="A64" s="22" t="s">
        <v>96</v>
      </c>
      <c r="B64" s="22" t="s">
        <v>237</v>
      </c>
      <c r="C64" s="22" t="s">
        <v>238</v>
      </c>
      <c r="D64" s="22" t="s">
        <v>127</v>
      </c>
      <c r="E64" s="22" t="s">
        <v>111</v>
      </c>
      <c r="F64" s="41">
        <v>88</v>
      </c>
      <c r="G64" s="42">
        <v>19</v>
      </c>
      <c r="H64" s="41">
        <v>107</v>
      </c>
      <c r="I64" s="42">
        <v>17.8</v>
      </c>
    </row>
    <row r="65" ht="21" customHeight="1" spans="1:9" x14ac:dyDescent="0.25">
      <c r="A65" s="19" t="s">
        <v>96</v>
      </c>
      <c r="B65" s="19" t="s">
        <v>239</v>
      </c>
      <c r="C65" s="19" t="s">
        <v>240</v>
      </c>
      <c r="D65" s="19" t="s">
        <v>122</v>
      </c>
      <c r="E65" s="19" t="s">
        <v>116</v>
      </c>
      <c r="F65" s="36">
        <v>93</v>
      </c>
      <c r="G65" s="37">
        <v>21</v>
      </c>
      <c r="H65" s="36">
        <v>114</v>
      </c>
      <c r="I65" s="37">
        <v>18.4</v>
      </c>
    </row>
    <row r="66" ht="21" customHeight="1" spans="1:9" x14ac:dyDescent="0.25">
      <c r="A66" s="22" t="s">
        <v>96</v>
      </c>
      <c r="B66" s="22" t="s">
        <v>241</v>
      </c>
      <c r="C66" s="22" t="s">
        <v>242</v>
      </c>
      <c r="D66" s="22" t="s">
        <v>143</v>
      </c>
      <c r="E66" s="22" t="s">
        <v>136</v>
      </c>
      <c r="F66" s="41">
        <v>168</v>
      </c>
      <c r="G66" s="42">
        <v>21</v>
      </c>
      <c r="H66" s="41">
        <v>189</v>
      </c>
      <c r="I66" s="42">
        <v>11.1</v>
      </c>
    </row>
    <row r="67" ht="21" customHeight="1" spans="1:9" x14ac:dyDescent="0.25">
      <c r="A67" s="19" t="s">
        <v>96</v>
      </c>
      <c r="B67" s="19" t="s">
        <v>243</v>
      </c>
      <c r="C67" s="19" t="s">
        <v>244</v>
      </c>
      <c r="D67" s="19" t="s">
        <v>140</v>
      </c>
      <c r="E67" s="19" t="s">
        <v>136</v>
      </c>
      <c r="F67" s="36">
        <v>153</v>
      </c>
      <c r="G67" s="37">
        <v>19</v>
      </c>
      <c r="H67" s="36">
        <v>172</v>
      </c>
      <c r="I67" s="37">
        <v>11</v>
      </c>
    </row>
    <row r="68" ht="21" customHeight="1" spans="1:9" x14ac:dyDescent="0.25">
      <c r="A68" s="22" t="s">
        <v>96</v>
      </c>
      <c r="B68" s="22" t="s">
        <v>245</v>
      </c>
      <c r="C68" s="22" t="s">
        <v>246</v>
      </c>
      <c r="D68" s="22" t="s">
        <v>122</v>
      </c>
      <c r="E68" s="22" t="s">
        <v>116</v>
      </c>
      <c r="F68" s="41">
        <v>89</v>
      </c>
      <c r="G68" s="42">
        <v>8</v>
      </c>
      <c r="H68" s="41">
        <v>97</v>
      </c>
      <c r="I68" s="42">
        <v>8.2</v>
      </c>
    </row>
    <row r="69" ht="21" customHeight="1" spans="1:9" x14ac:dyDescent="0.25">
      <c r="A69" s="19" t="s">
        <v>96</v>
      </c>
      <c r="B69" s="19" t="s">
        <v>247</v>
      </c>
      <c r="C69" s="19" t="s">
        <v>248</v>
      </c>
      <c r="D69" s="19" t="s">
        <v>111</v>
      </c>
      <c r="E69" s="19" t="s">
        <v>132</v>
      </c>
      <c r="F69" s="36">
        <v>164</v>
      </c>
      <c r="G69" s="37">
        <v>42</v>
      </c>
      <c r="H69" s="36">
        <v>206</v>
      </c>
      <c r="I69" s="37">
        <v>20.4</v>
      </c>
    </row>
    <row r="70" ht="21" customHeight="1" spans="1:9" x14ac:dyDescent="0.25">
      <c r="A70" s="22" t="s">
        <v>96</v>
      </c>
      <c r="B70" s="22" t="s">
        <v>249</v>
      </c>
      <c r="C70" s="22" t="s">
        <v>250</v>
      </c>
      <c r="D70" s="22" t="s">
        <v>132</v>
      </c>
      <c r="E70" s="22" t="s">
        <v>127</v>
      </c>
      <c r="F70" s="41">
        <v>183</v>
      </c>
      <c r="G70" s="42">
        <v>31</v>
      </c>
      <c r="H70" s="41">
        <v>214</v>
      </c>
      <c r="I70" s="42">
        <v>14.5</v>
      </c>
    </row>
    <row r="71" ht="21" customHeight="1" spans="1:9" x14ac:dyDescent="0.25">
      <c r="A71" s="19" t="s">
        <v>96</v>
      </c>
      <c r="B71" s="19" t="s">
        <v>251</v>
      </c>
      <c r="C71" s="19" t="s">
        <v>252</v>
      </c>
      <c r="D71" s="19" t="s">
        <v>101</v>
      </c>
      <c r="E71" s="19" t="s">
        <v>116</v>
      </c>
      <c r="F71" s="36">
        <v>165</v>
      </c>
      <c r="G71" s="37">
        <v>16</v>
      </c>
      <c r="H71" s="36">
        <v>181</v>
      </c>
      <c r="I71" s="37">
        <v>8.8</v>
      </c>
    </row>
    <row r="72" ht="21" customHeight="1" spans="1:9" x14ac:dyDescent="0.25">
      <c r="A72" s="22" t="s">
        <v>96</v>
      </c>
      <c r="B72" s="22" t="s">
        <v>253</v>
      </c>
      <c r="C72" s="22" t="s">
        <v>254</v>
      </c>
      <c r="D72" s="22" t="s">
        <v>132</v>
      </c>
      <c r="E72" s="22" t="s">
        <v>143</v>
      </c>
      <c r="F72" s="41">
        <v>233</v>
      </c>
      <c r="G72" s="42">
        <v>55</v>
      </c>
      <c r="H72" s="41">
        <v>288</v>
      </c>
      <c r="I72" s="42">
        <v>19.1</v>
      </c>
    </row>
    <row r="73" ht="21" customHeight="1" spans="1:9" x14ac:dyDescent="0.25">
      <c r="A73" s="19" t="s">
        <v>96</v>
      </c>
      <c r="B73" s="19" t="s">
        <v>255</v>
      </c>
      <c r="C73" s="19" t="s">
        <v>256</v>
      </c>
      <c r="D73" s="19" t="s">
        <v>101</v>
      </c>
      <c r="E73" s="19" t="s">
        <v>116</v>
      </c>
      <c r="F73" s="36">
        <v>163</v>
      </c>
      <c r="G73" s="37">
        <v>15</v>
      </c>
      <c r="H73" s="36">
        <v>178</v>
      </c>
      <c r="I73" s="37">
        <v>8.4</v>
      </c>
    </row>
    <row r="74" ht="21" customHeight="1" spans="1:9" x14ac:dyDescent="0.25">
      <c r="A74" s="22" t="s">
        <v>96</v>
      </c>
      <c r="B74" s="22" t="s">
        <v>257</v>
      </c>
      <c r="C74" s="22" t="s">
        <v>258</v>
      </c>
      <c r="D74" s="22" t="s">
        <v>101</v>
      </c>
      <c r="E74" s="22" t="s">
        <v>116</v>
      </c>
      <c r="F74" s="41">
        <v>160</v>
      </c>
      <c r="G74" s="42">
        <v>20</v>
      </c>
      <c r="H74" s="41">
        <v>180</v>
      </c>
      <c r="I74" s="42">
        <v>11.1</v>
      </c>
    </row>
    <row r="75" ht="9" customHeight="1" spans="1:9" x14ac:dyDescent="0.25">
      <c r="A75" s="55"/>
      <c r="B75" s="55"/>
      <c r="C75" s="55"/>
      <c r="D75" s="55"/>
      <c r="E75" s="55"/>
      <c r="F75" s="55"/>
      <c r="G75" s="55"/>
      <c r="H75" s="55"/>
      <c r="I75" s="55"/>
    </row>
    <row r="76" ht="21" customHeight="1" spans="1:9" x14ac:dyDescent="0.25">
      <c r="A76" s="56" t="s">
        <v>399</v>
      </c>
      <c r="B76" s="56"/>
      <c r="C76" s="56"/>
      <c r="D76" s="56"/>
      <c r="E76" s="56"/>
      <c r="F76" s="65">
        <v>9253</v>
      </c>
      <c r="G76" s="70">
        <v>2030</v>
      </c>
      <c r="H76" s="65">
        <v>11283</v>
      </c>
      <c r="I76" s="70">
        <v>18</v>
      </c>
    </row>
    <row r="77" ht="21" customHeight="1" spans="1:9" x14ac:dyDescent="0.25">
      <c r="A77" s="19" t="s">
        <v>457</v>
      </c>
      <c r="B77" s="19"/>
      <c r="C77" s="19"/>
      <c r="D77" s="19"/>
      <c r="E77" s="19"/>
      <c r="F77" s="19"/>
      <c r="G77" s="19"/>
      <c r="H77" s="19"/>
      <c r="I77" s="19"/>
    </row>
    <row r="78" ht="21" customHeight="1" spans="1:9" x14ac:dyDescent="0.25">
      <c r="A78" s="22" t="s">
        <v>458</v>
      </c>
      <c r="B78" s="22"/>
      <c r="C78" s="22"/>
      <c r="D78" s="22"/>
      <c r="E78" s="22"/>
      <c r="F78" s="22"/>
      <c r="G78" s="22"/>
      <c r="H78" s="22"/>
      <c r="I78" s="22"/>
    </row>
  </sheetData>
  <autoFilter ref="A10:I10"/>
  <mergeCells count="16">
    <mergeCell ref="A1:I1"/>
    <mergeCell ref="A2:I2"/>
    <mergeCell ref="A4:C4"/>
    <mergeCell ref="D4:E4"/>
    <mergeCell ref="F4:G4"/>
    <mergeCell ref="H4:I4"/>
    <mergeCell ref="A5:C6"/>
    <mergeCell ref="D5:E6"/>
    <mergeCell ref="F5:G6"/>
    <mergeCell ref="H5:I6"/>
    <mergeCell ref="A7:C7"/>
    <mergeCell ref="D7:E7"/>
    <mergeCell ref="F7:G7"/>
    <mergeCell ref="H7:I7"/>
    <mergeCell ref="A9:E9"/>
    <mergeCell ref="F9:I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&amp;LMileage - Unit 101 - 2026&amp;ROnRoad Books</oddHeader>
    <oddFooter>Confidential  •  Prepared from the business ledger  | 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A000"/>
    <pageSetUpPr fitToPage="1"/>
  </sheetPr>
  <dimension ref="A1:K15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3" width="18" customWidth="1"/>
    <col min="4" max="4" width="12" customWidth="1"/>
    <col min="5" max="6" width="11" customWidth="1"/>
    <col min="7" max="7" width="24" customWidth="1"/>
    <col min="8" max="8" width="13" customWidth="1"/>
    <col min="9" max="9" width="16" customWidth="1"/>
    <col min="10" max="10" width="19" customWidth="1"/>
    <col min="11" max="11" width="34" customWidth="1"/>
  </cols>
  <sheetData>
    <row r="1" ht="38" customHeight="1" spans="1:11" x14ac:dyDescent="0.25">
      <c r="A1" s="31" t="s">
        <v>459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ht="22" customHeight="1" spans="1:11" x14ac:dyDescent="0.25">
      <c r="A2" s="32" t="s">
        <v>52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ht="8" customHeight="1" x14ac:dyDescent="0.25"/>
    <row r="4" ht="26" customHeight="1" spans="1:11" x14ac:dyDescent="0.25">
      <c r="A4" s="47" t="s">
        <v>384</v>
      </c>
      <c r="B4" s="47"/>
      <c r="C4" s="47"/>
      <c r="D4" s="5" t="s">
        <v>460</v>
      </c>
      <c r="E4" s="5"/>
      <c r="F4" s="5"/>
      <c r="G4" s="3" t="s">
        <v>461</v>
      </c>
      <c r="H4" s="3"/>
      <c r="I4" s="3"/>
      <c r="J4" s="4" t="s">
        <v>462</v>
      </c>
      <c r="K4" s="4"/>
    </row>
    <row r="5" ht="22" customHeight="1" spans="1:11" x14ac:dyDescent="0.25">
      <c r="A5" s="49">
        <v>4703</v>
      </c>
      <c r="B5" s="49"/>
      <c r="C5" s="49"/>
      <c r="D5" s="8">
        <v>5</v>
      </c>
      <c r="E5" s="8"/>
      <c r="F5" s="8"/>
      <c r="G5" s="67">
        <v>1</v>
      </c>
      <c r="H5" s="67"/>
      <c r="I5" s="67"/>
      <c r="J5" s="71">
        <v>5</v>
      </c>
      <c r="K5" s="71"/>
    </row>
    <row r="6" ht="22" customHeight="1" spans="1:11" x14ac:dyDescent="0.25">
      <c r="A6" s="49"/>
      <c r="B6" s="49"/>
      <c r="C6" s="49"/>
      <c r="D6" s="8"/>
      <c r="E6" s="8"/>
      <c r="F6" s="8"/>
      <c r="G6" s="67"/>
      <c r="H6" s="67"/>
      <c r="I6" s="67"/>
      <c r="J6" s="71"/>
      <c r="K6" s="71"/>
    </row>
    <row r="7" ht="24" customHeight="1" spans="1:11" x14ac:dyDescent="0.25">
      <c r="A7" s="9" t="s">
        <v>463</v>
      </c>
      <c r="B7" s="9"/>
      <c r="C7" s="9"/>
      <c r="D7" s="9" t="s">
        <v>464</v>
      </c>
      <c r="E7" s="9"/>
      <c r="F7" s="9"/>
      <c r="G7" s="9" t="s">
        <v>465</v>
      </c>
      <c r="H7" s="9"/>
      <c r="I7" s="9"/>
      <c r="J7" s="9" t="s">
        <v>466</v>
      </c>
      <c r="K7" s="9"/>
    </row>
    <row r="8" ht="10" customHeight="1" x14ac:dyDescent="0.25"/>
    <row r="9" ht="22" customHeight="1" spans="1:11" x14ac:dyDescent="0.25">
      <c r="A9" s="33" t="s">
        <v>467</v>
      </c>
      <c r="B9" s="33"/>
      <c r="C9" s="33"/>
      <c r="D9" s="33"/>
      <c r="E9" s="33"/>
      <c r="F9" s="33"/>
      <c r="G9" s="33"/>
      <c r="H9" s="34" t="s">
        <v>468</v>
      </c>
      <c r="I9" s="34"/>
      <c r="J9" s="34"/>
      <c r="K9" s="34"/>
    </row>
    <row r="10" ht="32" customHeight="1" spans="1:11" s="35" customFormat="1" x14ac:dyDescent="0.25">
      <c r="A10" s="35" t="s">
        <v>67</v>
      </c>
      <c r="B10" s="35" t="s">
        <v>469</v>
      </c>
      <c r="C10" s="35" t="s">
        <v>470</v>
      </c>
      <c r="D10" s="35" t="s">
        <v>471</v>
      </c>
      <c r="E10" s="35" t="s">
        <v>398</v>
      </c>
      <c r="F10" s="35" t="s">
        <v>472</v>
      </c>
      <c r="G10" s="35" t="s">
        <v>277</v>
      </c>
      <c r="H10" s="35" t="s">
        <v>473</v>
      </c>
      <c r="I10" s="35" t="s">
        <v>474</v>
      </c>
      <c r="J10" s="35" t="s">
        <v>475</v>
      </c>
      <c r="K10" s="35" t="s">
        <v>95</v>
      </c>
    </row>
    <row r="11" ht="21" customHeight="1" spans="1:11" x14ac:dyDescent="0.25">
      <c r="A11" s="19" t="s">
        <v>96</v>
      </c>
      <c r="B11" s="19" t="s">
        <v>363</v>
      </c>
      <c r="C11" s="19" t="s">
        <v>476</v>
      </c>
      <c r="D11" s="19" t="s">
        <v>62</v>
      </c>
      <c r="E11" s="36">
        <v>137900</v>
      </c>
      <c r="F11" s="20">
        <v>148.6</v>
      </c>
      <c r="G11" s="19" t="s">
        <v>322</v>
      </c>
      <c r="H11" s="19"/>
      <c r="I11" s="36">
        <v>167900</v>
      </c>
      <c r="J11" s="19" t="s">
        <v>285</v>
      </c>
      <c r="K11" s="40"/>
    </row>
    <row r="12" ht="21" customHeight="1" spans="1:11" x14ac:dyDescent="0.25">
      <c r="A12" s="22" t="s">
        <v>96</v>
      </c>
      <c r="B12" s="22" t="s">
        <v>374</v>
      </c>
      <c r="C12" s="22" t="s">
        <v>477</v>
      </c>
      <c r="D12" s="22" t="s">
        <v>478</v>
      </c>
      <c r="E12" s="41">
        <v>136030</v>
      </c>
      <c r="F12" s="23">
        <v>312.4</v>
      </c>
      <c r="G12" s="22" t="s">
        <v>322</v>
      </c>
      <c r="H12" s="22" t="s">
        <v>479</v>
      </c>
      <c r="I12" s="41">
        <v>146030</v>
      </c>
      <c r="J12" s="22" t="s">
        <v>285</v>
      </c>
      <c r="K12" s="44" t="s">
        <v>480</v>
      </c>
    </row>
    <row r="13" ht="21" customHeight="1" spans="1:11" x14ac:dyDescent="0.25">
      <c r="A13" s="19" t="s">
        <v>96</v>
      </c>
      <c r="B13" s="19" t="s">
        <v>481</v>
      </c>
      <c r="C13" s="19" t="s">
        <v>482</v>
      </c>
      <c r="D13" s="19" t="s">
        <v>483</v>
      </c>
      <c r="E13" s="36">
        <v>126800</v>
      </c>
      <c r="F13" s="20">
        <v>82</v>
      </c>
      <c r="G13" s="19" t="s">
        <v>303</v>
      </c>
      <c r="H13" s="19" t="s">
        <v>484</v>
      </c>
      <c r="I13" s="19"/>
      <c r="J13" s="19" t="s">
        <v>285</v>
      </c>
      <c r="K13" s="40"/>
    </row>
    <row r="14" ht="21" customHeight="1" spans="1:11" x14ac:dyDescent="0.25">
      <c r="A14" s="22" t="s">
        <v>96</v>
      </c>
      <c r="B14" s="22" t="s">
        <v>485</v>
      </c>
      <c r="C14" s="22" t="s">
        <v>486</v>
      </c>
      <c r="D14" s="22" t="s">
        <v>62</v>
      </c>
      <c r="E14" s="41">
        <v>124400</v>
      </c>
      <c r="F14" s="23">
        <v>2180</v>
      </c>
      <c r="G14" s="22" t="s">
        <v>303</v>
      </c>
      <c r="H14" s="22"/>
      <c r="I14" s="41">
        <v>184400</v>
      </c>
      <c r="J14" s="22" t="s">
        <v>285</v>
      </c>
      <c r="K14" s="44" t="s">
        <v>487</v>
      </c>
    </row>
    <row r="15" ht="21" customHeight="1" spans="1:11" x14ac:dyDescent="0.25">
      <c r="A15" s="19" t="s">
        <v>96</v>
      </c>
      <c r="B15" s="19" t="s">
        <v>488</v>
      </c>
      <c r="C15" s="19" t="s">
        <v>40</v>
      </c>
      <c r="D15" s="19" t="s">
        <v>483</v>
      </c>
      <c r="E15" s="19"/>
      <c r="F15" s="20">
        <v>1980</v>
      </c>
      <c r="G15" s="19" t="s">
        <v>289</v>
      </c>
      <c r="H15" s="19" t="s">
        <v>489</v>
      </c>
      <c r="I15" s="19"/>
      <c r="J15" s="19" t="s">
        <v>285</v>
      </c>
      <c r="K15" s="40" t="s">
        <v>490</v>
      </c>
    </row>
  </sheetData>
  <autoFilter ref="A10:K10"/>
  <mergeCells count="16">
    <mergeCell ref="A1:K1"/>
    <mergeCell ref="A2:K2"/>
    <mergeCell ref="A4:C4"/>
    <mergeCell ref="D4:F4"/>
    <mergeCell ref="G4:I4"/>
    <mergeCell ref="J4:K4"/>
    <mergeCell ref="A5:C6"/>
    <mergeCell ref="D5:F6"/>
    <mergeCell ref="G5:I6"/>
    <mergeCell ref="J5:K6"/>
    <mergeCell ref="A7:C7"/>
    <mergeCell ref="D7:F7"/>
    <mergeCell ref="G7:I7"/>
    <mergeCell ref="J7:K7"/>
    <mergeCell ref="A9:G9"/>
    <mergeCell ref="H9:K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&amp;LMaintenance - Unit 101 - 2026&amp;ROnRoad Books</oddHeader>
    <oddFooter>Confidential  •  Prepared from the business ledger  |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Loads</vt:lpstr>
      <vt:lpstr>Expenses</vt:lpstr>
      <vt:lpstr>Fuel</vt:lpstr>
      <vt:lpstr>Profit Loss</vt:lpstr>
      <vt:lpstr>Mileage</vt:lpstr>
      <vt:lpstr>Maintenance</vt:lpstr>
    </vt:vector>
  </TitlesOfParts>
  <Company>OnRoad Books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OnRoad Books</dc:creator>
  <dc:title/>
  <dc:subject>Trucking financial and operating report</dc:subject>
  <dc:description>Professional financial export generated from the business ledger.</dc:description>
  <cp:keywords/>
  <cp:category/>
  <cp:lastModifiedBy>Unknown</cp:lastModifiedBy>
  <dcterms:created xsi:type="dcterms:W3CDTF">2026-09-02T00:49:42Z</dcterms:created>
  <dcterms:modified xsi:type="dcterms:W3CDTF">2026-09-02T00:49:42Z</dcterms:modified>
</cp:coreProperties>
</file>